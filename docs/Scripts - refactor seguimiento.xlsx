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1 Seteo de Tax Codes" sheetId="1" state="visible" r:id="rId3"/>
    <sheet name="2 Transaccion (Servidor)" sheetId="2" state="visible" r:id="rId4"/>
    <sheet name="3 Calcular Retenciones" sheetId="3" state="visible" r:id="rId5"/>
    <sheet name="4 Asignar Rubro IVA" sheetId="4" state="visible" r:id="rId6"/>
    <sheet name="5 Conexion Directa FE" sheetId="5" state="visible" r:id="rId7"/>
    <sheet name="6 Setear Unidad Indexada" sheetId="6" state="visible" r:id="rId8"/>
    <sheet name="7 Registro de aprobaciones" sheetId="7" state="visible" r:id="rId9"/>
  </sheets>
  <definedNames>
    <definedName function="false" hidden="true" localSheetId="6" name="_xlnm._FilterDatabase" vbProcedure="false">'7 Registro de aprobaciones'!$A$5:$H$59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<sst xmlns="http://schemas.openxmlformats.org/spreadsheetml/2006/main" count="1752" uniqueCount="715">
  <si>
    <t xml:space="preserve">L598 - Seteo de Tax Codes</t>
  </si>
  <si>
    <t xml:space="preserve">Fuente: docs/refactors/1-seteo-de-tax-codes.md · Estado: Plan de Cambios + registro-aprobaciones.md</t>
  </si>
  <si>
    <t xml:space="preserve">Grupo A — Correctitud (NO entran al refactor; recomendación + aprobación Tekiio)</t>
  </si>
  <si>
    <t xml:space="preserve">ID</t>
  </si>
  <si>
    <t xml:space="preserve">Hallazgo</t>
  </si>
  <si>
    <t xml:space="preserve">Evidencia</t>
  </si>
  <si>
    <t xml:space="preserve">Riesgo</t>
  </si>
  <si>
    <t xml:space="preserve">Estado</t>
  </si>
  <si>
    <t xml:space="preserve">STC-A1</t>
  </si>
  <si>
    <t xml:space="preserve">Patrón afterSubmit + record.load() + save() para setear columnas calculadas: el registro se vuelve a cargar y guardar entero después de que NetSuite ya lo guardó. El beforeSubmit existe pero es un no-op (sólo un log.audit). Medido en 30 GU por guardado — el 100% del footprint de governance del script</t>
  </si>
  <si>
    <t xml:space="preserve">load L22, save L52, beforeSubmit no-op L132-135</t>
  </si>
  <si>
    <t xml:space="preserve">🔴</t>
  </si>
  <si>
    <t xml:space="preserve">🔧 Aplicado · plan: ✅ Aplicado y medido (2026-08-20): 30 GU → 0</t>
  </si>
  <si>
    <t xml:space="preserve">STC-A2</t>
  </si>
  <si>
    <t xml:space="preserve">El save() no tiene manejo de error propio: cae en el catch general que sólo hace log.error. Si el guardado falla, la transacción queda sin tax codes y nadie se entera — ni el usuario ni un registro consultable</t>
  </si>
  <si>
    <t xml:space="preserve">save L52, catch L56-58</t>
  </si>
  <si>
    <t xml:space="preserve">🔧 Aplicado</t>
  </si>
  <si>
    <t xml:space="preserve">STC-A3</t>
  </si>
  <si>
    <t xml:space="preserve">El filter sobre arrayTaxDetails puede devolver más de un resultado y se toma siempre [0]: el resto se descarta sin aviso. Si en UY existen impuestos compuestos por línea, se pierde todo menos el primero</t>
  </si>
  <si>
    <t xml:space="preserve">filter L82, uso de [0] L89-90</t>
  </si>
  <si>
    <t xml:space="preserve">⏳ Pendiente aprobación Tekiio · plan: ⏳ Validar fiscal</t>
  </si>
  <si>
    <t xml:space="preserve">Grupo B — Governance / Performance (SÍ entran)</t>
  </si>
  <si>
    <t xml:space="preserve">STC-B1</t>
  </si>
  <si>
    <t xml:space="preserve">El filter se ejecuta dentro del loop de líneas: O(líneas × taxdetails) por sublista, y se repite para item y expense</t>
  </si>
  <si>
    <t xml:space="preserve">filter L82 dentro del loop L78+</t>
  </si>
  <si>
    <t xml:space="preserve">🟡</t>
  </si>
  <si>
    <t xml:space="preserve">STC-B2</t>
  </si>
  <si>
    <t xml:space="preserve">Segundo loop completo sobre las líneas cuyo único cuerpo es un log.debug, con 2 getSublistValue por línea. Se suman dumps con JSON.stringify en el camino caliente, que se evalúan aunque el Log Level no sea Debug</t>
  </si>
  <si>
    <t xml:space="preserve">loop L118-120; dumps L44-45, L85</t>
  </si>
  <si>
    <t xml:space="preserve">🟢</t>
  </si>
  <si>
    <t xml:space="preserve">Grupo C — Estándares 2.1 (SÍ entran)</t>
  </si>
  <si>
    <t xml:space="preserve">STC-C1</t>
  </si>
  <si>
    <t xml:space="preserve">N/search se importa en el define y no se usa en ninguna parte del archivo</t>
  </si>
  <si>
    <t xml:space="preserve">L7</t>
  </si>
  <si>
    <t xml:space="preserve">Grupo D — Mantenibilidad (SÍ entran)</t>
  </si>
  <si>
    <t xml:space="preserve">STC-D1</t>
  </si>
  <si>
    <t xml:space="preserve">arrayTaxCodes se declara y se llena en el loop, pero sólo alimenta un log.debug: no participa de ningún cálculo</t>
  </si>
  <si>
    <t xml:space="preserve">declaración L32, push L40, único uso L45</t>
  </si>
  <si>
    <t xml:space="preserve">2. Plan de Cambios</t>
  </si>
  <si>
    <t xml:space="preserve">Criterio</t>
  </si>
  <si>
    <t xml:space="preserve">Qué se modifica</t>
  </si>
  <si>
    <t xml:space="preserve">#3</t>
  </si>
  <si>
    <t xml:space="preserve">filter dentro del loop → Map indexado por taxdetailsreference (primer match gana)</t>
  </si>
  <si>
    <t xml:space="preserve">🟡 Medio</t>
  </si>
  <si>
    <t xml:space="preserve">Eliminado el 2º loop de solo-logging + log.debug de dump</t>
  </si>
  <si>
    <t xml:space="preserve">🟢 Bajo</t>
  </si>
  <si>
    <t xml:space="preserve">#4</t>
  </si>
  <si>
    <t xml:space="preserve">Eliminado N/search del define (no se usaba)</t>
  </si>
  <si>
    <t xml:space="preserve">#6</t>
  </si>
  <si>
    <t xml:space="preserve">Eliminado arrayTaxCodes (sólo alimentaba un log)</t>
  </si>
  <si>
    <t xml:space="preserve">#1/#8</t>
  </si>
  <si>
    <t xml:space="preserve">beforeSubmit con guarda híbrida + fallback a afterSubmit (elimina load+save en el camino feliz)</t>
  </si>
  <si>
    <t xml:space="preserve">🔴 Alto</t>
  </si>
  <si>
    <t xml:space="preserve">✅ Aplicado y medido (2026-08-20): 30 GU → 0</t>
  </si>
  <si>
    <t xml:space="preserve">#1</t>
  </si>
  <si>
    <t xml:space="preserve">Manejo de error del save → diagnóstico por etapa + marca en el LOG de FE</t>
  </si>
  <si>
    <t xml:space="preserve">🔧 Aplicado (2026-09-07) — pendiente definir los 2 códigos en la cuenta</t>
  </si>
  <si>
    <t xml:space="preserve">Múltiples taxdetails por línea → toma [0]</t>
  </si>
  <si>
    <t xml:space="preserve">⏳ Validar fiscal</t>
  </si>
  <si>
    <t xml:space="preserve">L598 -Transaccion (Servidor)</t>
  </si>
  <si>
    <t xml:space="preserve">Fuente: docs/refactors/2-transaccion-servidor.md · Estado: Plan de Cambios + registro-aprobaciones.md</t>
  </si>
  <si>
    <t xml:space="preserve">Grupo A — Correctitud (NO entra al refactor; ver §4)</t>
  </si>
  <si>
    <t xml:space="preserve">TRS-A1</t>
  </si>
  <si>
    <t xml:space="preserve">Patrón afterSubmit + record.load() + save() para setear campos calculados — el mismo patrón de STC-A1, medido allí en 30 GU por guardado. ❌ La cláusula "el save además re-dispara los UserEvents del registro" está descartada (2026-09-08, ver §7.4): dos observaciones independientes — el diagnóstico en vendorcredit 15227 y Seteo de Tax Codes en la invoice 15822 — muestran que el save() de un UserEvent no re-dispara los UserEvents de otros scripts. El ahorro de load+save no depende de esa cláusula y se sostiene solo; la cláusula no se cita más como beneficio.</t>
  </si>
  <si>
    <t xml:space="preserve">load L1208, save L1915-1918</t>
  </si>
  <si>
    <t xml:space="preserve">✅ Aprobado</t>
  </si>
  <si>
    <t xml:space="preserve">TRS-A2 ✅🔧</t>
  </si>
  <si>
    <t xml:space="preserve">Aprobado por Tekiio 2026-09-08 y aplicado — ver §3.sexies. Para salesorder/transferorder toda la lógica se saltea (L1212, L1864, L1892) pero el load+save se ejecuta igual: se re-guarda un registro sin ningún cambio en cada submit. Explica gran parte del baseline de Orden de Venta (1.5s).</t>
  </si>
  <si>
    <t xml:space="preserve">L1207-1212, L1915</t>
  </si>
  <si>
    <t xml:space="preserve">TRS-A3</t>
  </si>
  <si>
    <t xml:space="preserve">(nuevo) En beforeSubmit DELETE se llama objRecord.delete({type, id}) sobre el objeto Record; el objeto Record no tiene método delete en N/record (la función es del módulo: record.delete). El TypeError cae en el catch que solo loguea → las retenciones asociadas (customrecord_l598_retencion, customrecord_l598_retencion_nc) muy probablemente nunca se borran y quedan huérfanas al borrar NC de compra / Resguardos. Hecho verificado: la llamada y el catch. Inferencia: el efecto en runtime — confirmar con logs de la cuenta ("Ocurrio un error al borrar…").</t>
  </si>
  <si>
    <t xml:space="preserve">L1146-1152 (vendorcredit), L1180-1186 (resguardo)</t>
  </si>
  <si>
    <t xml:space="preserve">⏳ Pendiente aprobación Tekiio</t>
  </si>
  <si>
    <t xml:space="preserve">TRS-A4</t>
  </si>
  <si>
    <t xml:space="preserve">(nuevo) El bloque de beforeLoad está condicionado a executionContext == "userevent" (minúscula); runtime.executionContext devuelve valores del enum en mayúsculas (USEREVENT, USERINTERFACE) → la condición sería siempre falsa y el bloque, código muerto. El comentario L2013-2019 ("Se comenta esta funcionalidad porque está repetida… el script de cliente también la posee") sugiere desactivación intencional por la vía de la condición. Confirmar en la cuenta (los log.debug internos nunca deberían aparecer) y decidir: remover (D) o reactivar (cambio de comportamiento). Incluye además la cláusula redundante recType != "vendorbill" &amp;&amp; recType == "invoice".</t>
  </si>
  <si>
    <t xml:space="preserve">L2029; comentario L2013-2019</t>
  </si>
  <si>
    <t xml:space="preserve">🔴 (verificar)</t>
  </si>
  <si>
    <t xml:space="preserve">TRS-A5</t>
  </si>
  <si>
    <t xml:space="preserve">getNumberLiteral() llama alert(...) (API de navegador, inexistente en server) cuando isNaN(n); el ReferenceError cae al catch y la función devuelve "NO DISPONIBLE", que puede terminar grabado en custbody_l598_monto_escrito (documento fiscal impreso).</t>
  </si>
  <si>
    <t xml:space="preserve">L267-270, catch L359-363</t>
  </si>
  <si>
    <t xml:space="preserve">TRS-A6</t>
  </si>
  <si>
    <t xml:space="preserve">(nuevo) Monto en letras con decimales: const parteDecimal = partes[1] ?? "00" toma la parte decimal sin normalizar a 2 dígitos. String(10.5) → "5" → "…CON 5/100" (debería ser 50/100); tres decimales → "CON 567/100". Number.prototype.toFixedOK existe (L36-39) pero no se usa en este camino. Bug de correctitud del monto escrito.</t>
  </si>
  <si>
    <t xml:space="preserve">L425-441 (L427)</t>
  </si>
  <si>
    <t xml:space="preserve">TRS-A7 ✅🔧</t>
  </si>
  <si>
    <t xml:space="preserve">Aprobado por Tekiio 2026-09-08 y aplicado — ver §3.septies. ⚠️ Se paginó con un loop local, no con los helpers de utilities: ver ahí los tres costos que la propuesta no había previsto. Las 3 saved searches del afterSubmit usaban getRange({start:0, end:1000}) sin paginación → truncamiento silencioso sobre 1000 resultados (líneas sin nombre/UM/indicador/cód. percepción calculados). Los helpers paginados existen en utilities.searchSaved/searchSavedPro y no se usan. Clasificado Grupo A por los hechos del proyecto (bug de truncamiento).</t>
  </si>
  <si>
    <t xml:space="preserve">L1388-1391, L1433-1436, L1479-1482; Utilities L142-159, L221-234</t>
  </si>
  <si>
    <t xml:space="preserve">TRS-A8</t>
  </si>
  <si>
    <t xml:space="preserve">La condición l598isEmpty(sucursal) || … || !l598isEmpty(location) fuerza el recálculo en casi el 100% de los guardados (location casi siempre está seteado), aun con los campos completos. Corregido 2026-08-27 contra el código: ese recálculo de más NO sobreescribe datos — la única escritura del camino vivo es custbody_l598_sucursal, guardada por isEmpty (L1005); serie/caja se leen para la condición pero sólo se escriben dentro del bloque muerto de beforeLoad (TRS-A4, L2077-2097), y obtenerSucursal es de solo lectura (verificado: sin escrituras en L694-960). El término extra sólo consume governance. Reducir la condición a isEmpty(sucursal) es equivalente en datos → la parte técnica pasa a Grupo B; la pregunta de negocio queda invertida: hoy una sucursal cargada nunca se recalcula al cambiar location — ¿es lo deseado?</t>
  </si>
  <si>
    <t xml:space="preserve">L995 (beforeSubmit), L1005 (guarda), L2057 (beforeLoad muerto)</t>
  </si>
  <si>
    <t xml:space="preserve">🔴 → pregunta de negocio</t>
  </si>
  <si>
    <t xml:space="preserve">Grupo B — Governance / Performance (SÍ entra)</t>
  </si>
  <si>
    <t xml:space="preserve">TRS-B1</t>
  </si>
  <si>
    <t xml:space="preserve">setearCodigoImpuestosLineas: arrayTaxDetails.filter(...) dentro del for por cada línea de item → O(items × taxdetails). Mismo patrón que STC-B1 (ya refactorizado a Map en el script Seteo de Tax Codes, preservando "primer match gana").</t>
  </si>
  <si>
    <t xml:space="preserve">L1958-1998 (filter L1964)</t>
  </si>
  <si>
    <t xml:space="preserve">TRS-B2</t>
  </si>
  <si>
    <t xml:space="preserve">Cruces de arrays con .filter() anidado en for y con efectos colaterales dentro del callback (push a arrayFinalAux/arrayFinal dentro del filter): O(n×m) por cada combinación líneas×resultados de búsqueda. Indexable con Map; la equivalencia debe preservar que se acumulan todos los matches y que el consumidor toma [0] (L1708-1710).</t>
  </si>
  <si>
    <t xml:space="preserve">L1513-1531, L1538-1556, L1569-1590</t>
  </si>
  <si>
    <t xml:space="preserve">TRS-B3</t>
  </si>
  <si>
    <t xml:space="preserve">Búsquedas de configuración repetidas por ejecución: customrecord_l598_datos_impositivos_emp se consulta 4 veces por guardado (l598esOneworld en beforeSubmit vía obtenerSucursal L696 y otra vez en afterSubmit L1219; usarDecimales L387-394; getSucursalxLocation L924-931). Peor camino: hasta 6 búsquedas en beforeSubmit (L56, L708, L852, L924, L508, L570, L660) + 5 en afterSubmit. Memoizar por ejecución/consolidar sin cambiar salida. Además l598esOneworld pide end: 1000 para un chequeo de existencia (end: 1 basta).</t>
  </si>
  <si>
    <t xml:space="preserve">L40-68, L694-745, L747-883, L885-956</t>
  </si>
  <si>
    <t xml:space="preserve">🔧 Aplicado (parcial)</t>
  </si>
  <si>
    <t xml:space="preserve">TRS-B4</t>
  </si>
  <si>
    <t xml:space="preserve">log.debug con JSON.stringify de arrays completos dentro de loops por línea, más un loop exclusivamente de logging (L1247-1251): costo de tiempo puro en el camino caliente. Patrón STC-B2 (se conservan los log.error).</t>
  </si>
  <si>
    <t xml:space="preserve">L1247-1251, L1296, L1620-1649, L1662, L1712-1740, L1774-1775, L1967</t>
  </si>
  <si>
    <t xml:space="preserve">TRS-B5</t>
  </si>
  <si>
    <t xml:space="preserve">(nuevo) Trabajo muerto: la 1ª pasada recolecta líneas de itemcost/expcost (condición L1300; arrayItem incluye itemcost, L1334) y alimenta con ellas la búsqueda y los cruces, pero la 2ª pasada solo escribe sublistas item y time (condición L1653) → esas filas jamás se usan. Reducir la recolección a lo consumido (con argumento de equivalencia documentado: hoy no se escribe nada para esas sublistas).</t>
  </si>
  <si>
    <t xml:space="preserve">L1298-1354 vs L1651-1653</t>
  </si>
  <si>
    <t xml:space="preserve">TRS-B6</t>
  </si>
  <si>
    <t xml:space="preserve">Saved searches customsearch_l598_articulos, customsearch_l598_timebill, customsearch_l598_cod_impuestos con columnas accedidas posicionalmente (columns[0..4] — acople frágil al orden definido en la cuenta; definición/exceso de columnas no verificable desde el repo). Candidatas a migración SuiteQL (SELECT específico) — hallazgo prioritario según criterio v2. Los filtros con variables sí validan no-vacío antes del push (L1372-1373, L1417-1418, L1465-1466).</t>
  </si>
  <si>
    <t xml:space="preserve">L1382-1408, L1427-1454, L1473-1501</t>
  </si>
  <si>
    <t xml:space="preserve">🔴 (migración = reemplazo de mecanismo → aprobación)</t>
  </si>
  <si>
    <t xml:space="preserve">⏳ Pendiente aprobación Tekiio · plan: ⏳ Propuesto (requiere aprobación)</t>
  </si>
  <si>
    <t xml:space="preserve">Grupo C — Estándares 2.1 (SÍ entra)</t>
  </si>
  <si>
    <t xml:space="preserve">TRS-C1</t>
  </si>
  <si>
    <t xml:space="preserve">eval(c)/eval(d)/eval(u) en letras() para "convertir" dígitos que ya llegan numéricos → Number().</t>
  </si>
  <si>
    <t xml:space="preserve">L79-81</t>
  </si>
  <si>
    <t xml:space="preserve">TRS-C2</t>
  </si>
  <si>
    <t xml:space="preserve">~24 variables sin declarar en getNumberLiteral (rm0, m1…m3, rm1…rm3, r1…r8, tmp, s, tmp1, tmp2, tmpn1, tmpn2, pred, mldata, mdata, cdata) → globals implícitos en función recursiva (L307-308). Verificación fina: el caso de 2 niveles queda accidentalmente a salvo porque la rama de billones se evalúa antes que la de millones y los valores necesarios se copian a locales let antes de recursar — pero es frágil. Declararlas con let no cambia la salida (no hay dependencia entre llamadas); requiere caracterización porque alimenta el monto escrito.</t>
  </si>
  <si>
    <t xml:space="preserve">L272-296, L302-313, L320-344</t>
  </si>
  <si>
    <t xml:space="preserve">⏳ Propuesto</t>
  </si>
  <si>
    <t xml:space="preserve">TRS-C3</t>
  </si>
  <si>
    <t xml:space="preserve">var residual en el bloque creditmemo (L1891-1910) y let que deberían ser const (let setearCodigoImpuestosLineas = … L1925, let proceso L1927).</t>
  </si>
  <si>
    <t xml:space="preserve">L1891-1910, L1925-1927</t>
  </si>
  <si>
    <t xml:space="preserve">TRS-C4</t>
  </si>
  <si>
    <t xml:space="preserve">Restos de estilo 1.0: comparaciones duales 'T'/true, 'F'/false por todo el script (L617-631, L790, L938, L1299, L1836…) y un filtro pasado como objeto plano en vez de search.createFilter (única de las 3 búsquedas, inconsistente). Normalizar con helper que preserve ambas semánticas.</t>
  </si>
  <si>
    <t xml:space="preserve">L1421-1425 vs L1376-1380</t>
  </si>
  <si>
    <t xml:space="preserve">Grupo D — Mantenibilidad (SÍ entra)</t>
  </si>
  <si>
    <t xml:space="preserve">TRS-D1</t>
  </si>
  <si>
    <t xml:space="preserve">Duplicación inter-script con L598 - Seteo de Tax Codes.js: setearCodigoImpuestosLineas (L1925-2007) es copia casi literal de setearColumnasConTaxDetails (STC L67-125) para la rama item — mismos sets de custcol_l598_codigo_impuesto/_tasa_impuesto, mismo manejo Group/Discount, mismos mensajes; y el bloque apply de creditmemo (L1891-1913) duplica desaplicarYAplicarNC (STC L137-161, que además cubre vendorcredit). Ambos scripts hacen load+save en afterSubmit → doble seteo y doble guardado CONFIRMADOS en la cuenta (2026-09-07): sobre la invoice 15822 corrieron los dos scripts, dos veces cada uno, y el log da el orden — STC escribe a las 1:21:15 y este script sobrescribe a las 1:21:17 con el mismo valor. Gana este script por llegar último, así que en la práctica es el dueño efectivo de esas columnas en invoice. Deja de ser inferencia. Propuesta de dueño único (opción B), con el alcance ya verificado: TRS-D1 — bloquea TRS-A1. Evidencia del orden: caracterización de STC § invoice 15822. En el refactor solo se documenta/extrae sin cambiar quién ejecuta; definir un dueño único es decisión con Tekiio (Grupo A).</t>
  </si>
  <si>
    <t xml:space="preserve">L1925-2007, L1891-1913</t>
  </si>
  <si>
    <t xml:space="preserve">⏳ Pendiente aprobación Tekiio · plan: ⏳ Propuesto — dueño único, opción B · propuesta · 🔴 bloquea TRS-A1</t>
  </si>
  <si>
    <t xml:space="preserve">TRS-D2</t>
  </si>
  <si>
    <t xml:space="preserve">Dead code: toFixedOK sin uso (L36-39); literal suelto 999123456789; (L299); bloque de monto escrito comentado en beforeSubmit (L1049-1076); submitFields comentado (L1872-1882); UserEventType.COPY en afterSubmit (L1868 — en afterSubmit una copia llega como CREATE; inferencia, verificar); ramas else inalcanzables tras !l598isEmpty(objeto) que siempre es true (L1013-1019, L2102-2107); comentarios nlapi 1.0 (L1174, L1181, L1188).</t>
  </si>
  <si>
    <t xml:space="preserve">citadas</t>
  </si>
  <si>
    <t xml:space="preserve">TRS-D3</t>
  </si>
  <si>
    <t xml:space="preserve">Extensión de prototipos nativos: Array.prototype.pushSafe (L27-33, traga nulos con log.debug) y Number.prototype.toFixedOK (L36-39) → helpers de módulo conservando semántica.</t>
  </si>
  <si>
    <t xml:space="preserve">L26-39</t>
  </si>
  <si>
    <t xml:space="preserve">TRS-D4</t>
  </si>
  <si>
    <t xml:space="preserve">Funciones larguísimas y multi-responsabilidad: afterSubmit ~722 líneas (monto en letras + tax codes + cruces + nro comprobante + re-apply NC + save), beforeSubmit ~240. Dividir en funciones nombradas sin reordenar efectos; por el gotcha fiscal, con caracterización exhaustiva.</t>
  </si>
  <si>
    <t xml:space="preserve">L959-1198, L1201-1922</t>
  </si>
  <si>
    <t xml:space="preserve">🔧 Aplicado (afterSubmit)</t>
  </si>
  <si>
    <t xml:space="preserve">TRS-D5</t>
  </si>
  <si>
    <t xml:space="preserve">Logs con números de línea hardcodeados y desactualizados ('LINE 823' en L1413, 'LINE 852' L1460, 'LINE 880' L1506, 'LINE 998' L1718…), mojibake en el fuente ("NumÃ©rico" L269) y typos ("INFORACIÓN" L1464, L1503).</t>
  </si>
  <si>
    <t xml:space="preserve">TRS-D6</t>
  </si>
  <si>
    <t xml:space="preserve">Lecturas repetidas del mismo valor de sublista: custcol_l598_codigo_impuesto se lee 3 veces por línea en la 2ª pasada.</t>
  </si>
  <si>
    <t xml:space="preserve">L1643-1647, L1656-1660, L1664-1668</t>
  </si>
  <si>
    <t xml:space="preserve">TRS-D7</t>
  </si>
  <si>
    <t xml:space="preserve">Duplicación con el módulo compartido: l598esOneworld local (L40-68) vs utilities.l598esOneworld (Utilities L50-90); l598isEmpty local (L22-24) vs utilities.isEmpty — con uso mixto en el mismo archivo (L1907 usa utilities, el resto la local, y sus semánticas difieren: la local también trata "null"/"undefined"). Unificar con cuidado de semántica.</t>
  </si>
  <si>
    <t xml:space="preserve">L22-24, L40-68, L715, L1907</t>
  </si>
  <si>
    <t xml:space="preserve">3. Plan de Cambios propuesto (solo B/C/D)</t>
  </si>
  <si>
    <t xml:space="preserve">#2</t>
  </si>
  <si>
    <t xml:space="preserve">Memoizar por ejecución las búsquedas de configuración (esOneworld, usarDecimales, datos impositivos) y end:1000→end:1 en chequeo de existencia</t>
  </si>
  <si>
    <t xml:space="preserve">Migrar las 3 SS de afterSubmit a SuiteQL con SELECT específico (elimina acople posicional a columnas)</t>
  </si>
  <si>
    <t xml:space="preserve">⏳ Propuesto (requiere aprobación)</t>
  </si>
  <si>
    <t xml:space="preserve">filter en loop de setearCodigoImpuestosLineas → Map por taxdetailsreference (patrón STC-B1 ya aplicado)</t>
  </si>
  <si>
    <t xml:space="preserve">Cruces O(n×m) con filter-con-efectos → índices Map, preservando multi-match y consumo [0]</t>
  </si>
  <si>
    <t xml:space="preserve">Quitar log.debug de dump en loops y el loop de solo-logging (se conservan log.error)</t>
  </si>
  <si>
    <t xml:space="preserve">Dejar de recolectar líneas itemcost/expcost que la 2ª pasada nunca escribe</t>
  </si>
  <si>
    <t xml:space="preserve">eval() → Number() en letras()</t>
  </si>
  <si>
    <t xml:space="preserve">Declarar con let las ~24 variables implícitas de getNumberLiteral</t>
  </si>
  <si>
    <t xml:space="preserve">var→const/let; arrow asignada a let→const</t>
  </si>
  <si>
    <t xml:space="preserve">Normalizar comparaciones 'T'/true con helper y unificar filtros con search.createFilter</t>
  </si>
  <si>
    <t xml:space="preserve">#5</t>
  </si>
  <si>
    <t xml:space="preserve">Eliminar dead code (toFixedOK, literal suelto, bloques comentados, ramas inalcanzables)</t>
  </si>
  <si>
    <t xml:space="preserve">Dividir afterSubmit/beforeSubmit en funciones nombradas sin reordenar efectos</t>
  </si>
  <si>
    <t xml:space="preserve">Corregir logs con líneas hardcodeadas, mojibake y typos</t>
  </si>
  <si>
    <t xml:space="preserve">Consolidar lecturas repetidas de sublist values</t>
  </si>
  <si>
    <t xml:space="preserve">Extraer/documentar la lógica duplicada con Seteo de Tax Codes (sin cambiar quién ejecuta)</t>
  </si>
  <si>
    <t xml:space="preserve">⏳ Propuesto — dueño único, opción B · propuesta · 🔴 bloquea TRS-A1</t>
  </si>
  <si>
    <t xml:space="preserve">Prototipos nativos → funciones helper</t>
  </si>
  <si>
    <t xml:space="preserve">Unificar isEmpty/esOneworld locales vs utilities (respetando diferencias semánticas)</t>
  </si>
  <si>
    <t xml:space="preserve">L598 - Calcular Retenciones (SS)V2</t>
  </si>
  <si>
    <t xml:space="preserve">Fuente: docs/refactors/3-calcular-retenciones-ss.md · Estado: Plan de Cambios + registro-aprobaciones.md</t>
  </si>
  <si>
    <t xml:space="preserve">CRT-A1</t>
  </si>
  <si>
    <t xml:space="preserve">La validación ERR002 (bloqueo de edición de Resguardos ya usados en retención) compara runtime.executionContext == "userinterface" en minúsculas; el enum documentado es 'USERINTERFACE' (el bloque gemelo ERR001 usa el enum correcto en 2019). La condición nunca es verdadera → validación muerta (inferencia sobre valor del enum, documentado por NetSuite).</t>
  </si>
  <si>
    <t xml:space="preserve">2031 vs 2019</t>
  </si>
  <si>
    <t xml:space="preserve">CRT-A2</t>
  </si>
  <si>
    <t xml:space="preserve">Al borrar una URU-Retención se invoca objRecord.delete("customrecord_l598_ret_detalle", id): Record no tiene método delete (es record.delete({type,id}) a nivel módulo). Cada iteración lanza TypeError, absorbido por el catch que solo loguea → los URU-Retención Detalle nunca se borran por esta vía (efecto runtime = inferencia de alta confianza; confirmable con el log "Ocurrio un error al borrar URU-Retencion Detalle…").</t>
  </si>
  <si>
    <t xml:space="preserve">2101-2110</t>
  </si>
  <si>
    <t xml:space="preserve">CRT-A3</t>
  </si>
  <si>
    <t xml:space="preserve">calcularGenerarResguardoAutomaticamente y aplicarRetencionFacturaAutomaticamente arman filtro plano ["isinactive","is","F"] y con subsidiaria hacen filters.push("campo","is",subsidiaria) → array plano de 6 elementos, expresión de filtro inválida. En OneWorld (subsidiaria no vacía, línea 1080) la búsqueda falla → el catch la absorbe y el Resguardo/pago automático no se genera. Coincide con priorización (docs/priorizacion-scripts.md:281).</t>
  </si>
  <si>
    <t xml:space="preserve">2371-2375, 2399-2403</t>
  </si>
  <si>
    <t xml:space="preserve">CRT-A4</t>
  </si>
  <si>
    <t xml:space="preserve">Default abierto en ambas funciones de configuración: se inicializa "F" (string) y la condición final !isEmpty(x) &amp;&amp; x evalúa "F" como truthy → si no existe registro customrecord_l598_conf_proc_ret, devuelven true (auto-generar resguardo / auto-aplicar pago) en vez de false (inferencia: depende de que la búsqueda no devuelva filas).</t>
  </si>
  <si>
    <t xml:space="preserve">2370+2386-2394, 2398+2414-2422</t>
  </si>
  <si>
    <t xml:space="preserve">CRT-A5</t>
  </si>
  <si>
    <t xml:space="preserve">En el armado del JSON del Resguardo automático, los fallbacks asignan el objeto completo de search.lookupFields en vez del escalar (.address1, .city, .country, .zipcode); ídem origenRetencion recibe el objeto {recordtype:…} entero. El SL crear_resguardo recibe un objeto serializado como dirección/ciudad/país/CP fiscal. Coincide con priorización (docs/priorizacion-scripts.md:280).</t>
  </si>
  <si>
    <t xml:space="preserve">1605, 1607, 1609, 1611, 1619-1620</t>
  </si>
  <si>
    <t xml:space="preserve">CRT-A6</t>
  </si>
  <si>
    <t xml:space="preserve">Manejo de errores roto en el monto escrito: getNumberLiteral llama alert(...) (API de navegador inexistente server-side, línea 223) y los tres catch de letras/getNumberLiteral/getNumeroEnLetras loguean error.message — error es el módulo N/error, no la excepción err → todo error se loguea como "Detalles: undefined", perdiendo la causa real.</t>
  </si>
  <si>
    <t xml:space="preserve">223; 195-197, 314-316, 405-407</t>
  </si>
  <si>
    <t xml:space="preserve">CRT-A7</t>
  </si>
  <si>
    <t xml:space="preserve">getRange({start:0,end:1000}) sin paginación consumiendo todas las filas esperadas: detalle de retenciones del Resguardo (JSON impreso) y detalle al borrar Resguardo; también la búsqueda de ERR002. Con &gt;1000 líneas se pierden filas en silencio (retenciones que no vuelven a "Pendiente", JSON incompleto). Coincide con priorización (docs/priorizacion-scripts.md:282).</t>
  </si>
  <si>
    <t xml:space="preserve">1954-1961, 2165-2168, 2053-2056</t>
  </si>
  <si>
    <t xml:space="preserve">CRT-A8</t>
  </si>
  <si>
    <t xml:space="preserve">En getNumberLiteral, la condición if (mdata != "\t") compara contra un tab literal (siempre verdadera; presumible intención != ""): para montos ≥1M con miles=0 (p.ej. 2.000.500) concatena " MIL " espurio en el monto escrito del Resguardo (inferencia; requiere caso de prueba).</t>
  </si>
  <si>
    <t xml:space="preserve">287-292</t>
  </si>
  <si>
    <t xml:space="preserve">CRT-A9</t>
  </si>
  <si>
    <t xml:space="preserve">En el armado del JSON de detalle del Resguardo, value.indexOf(...) se invoca antes del guard (value) ? value : "": una columna agrupada nula produce TypeError → catch → custbody_l598_resguardo_ret_det_json queda sin setear (inferencia según datos).</t>
  </si>
  <si>
    <t xml:space="preserve">1977-1983</t>
  </si>
  <si>
    <t xml:space="preserve">CRT-A10</t>
  </si>
  <si>
    <t xml:space="preserve">Los 4 https.post a Suitelets son síncronos, encadenados y sin validar respuesta (ni response.code ni body.error); hasta 5 ejecuciones de script por guardado, con fallas downstream silenciosas. Además en 1571 se parsea response.body (respuesta del primer SL) donde correspondería responseSLDetalle — hoy inocuo porque la variable no se usa. Coincide con priorización (docs/priorizacion-scripts.md:285). Cualquier consolidación es decisión arquitectónica del cliente.</t>
  </si>
  <si>
    <t xml:space="preserve">1050-1058, 1562-1571, 1636-1646, 1661-1670</t>
  </si>
  <si>
    <t xml:space="preserve">CRT-A11</t>
  </si>
  <si>
    <t xml:space="preserve">Al borrar un Resguardo, la limpieza de la sublista RefCFE hace removeLine(sublista, 1) con índice fijo 1 (posicional, resto de migración 1.0 con base-1; 2.0 es base-0) dentro de un loop de N iteraciones: la última iteración referencia una línea inexistente → excepción → catch → el save() de limpieza no se ejecuta (inferencia de alta confianza; verificar logs "Ocurrio un error al borrar URU-Informacion Referencia…").</t>
  </si>
  <si>
    <t xml:space="preserve">2223-2235</t>
  </si>
  <si>
    <t xml:space="preserve">CRT-A12</t>
  </si>
  <si>
    <t xml:space="preserve">El seteo de custbody_l598_fecha_venc_retenc corre solo para recType == "vendorbill", pero el mensaje del catch dice "creando/editando VendorBill/VendorCredit": cobertura de vendorcredit a confirmar como decisión u omisión.</t>
  </si>
  <si>
    <t xml:space="preserve">2075-2087</t>
  </si>
  <si>
    <t xml:space="preserve">CRT-A13</t>
  </si>
  <si>
    <t xml:space="preserve">Criterio #8 (solo sugerencia): el bloque "SETEO DE CAMPO URU-DETALLE RETENCION JSON" hace record.load()+save() del mismo Resguardo dentro de afterSubmit (CREATE/COPY); conceptualmente es candidato a beforeSubmit sobre newRecord, eliminando load+save. Cambio de entry point → se registra como sugerencia y se notifica a Tekiio.</t>
  </si>
  <si>
    <t xml:space="preserve">1851-1996 (load 1858-1861, save 1989)</t>
  </si>
  <si>
    <t xml:space="preserve">CRT-B1</t>
  </si>
  <si>
    <t xml:space="preserve">Prioritario (criterio v2-b/c): customsearch_l598_transaction_det_ret con ≥28 columnas y acceso posicional (columns[12..17] en beforeLoad; columns[1..26] vivo y columns[27] comentado en afterSubmit) se ejecuta en cada view y cada save de VB/VC → candidata a SuiteQL con SELECT específico (o, mínimo, columnas nombradas). Reordenar la SS en la cuenta hoy rompe el script sin error de compilación.</t>
  </si>
  <si>
    <t xml:space="preserve">866-895, 978-1027</t>
  </si>
  <si>
    <t xml:space="preserve">⏳ Pendiente aprobación Tekiio · plan: ⏳ Propuesto</t>
  </si>
  <si>
    <t xml:space="preserve">CRT-B2</t>
  </si>
  <si>
    <t xml:space="preserve">esOneworld() se ejecuta hasta 3 veces por flujo sin caché (afterSubmit 971, beforeSubmit 2258 —incondicional—, obtenerSucursal 596) y usa getRange({end:1000}) para un chequeo de existencia (bastaría end:1).</t>
  </si>
  <si>
    <t xml:space="preserve">566-591, 971, 2256-2259, 596</t>
  </si>
  <si>
    <t xml:space="preserve">CRT-B3</t>
  </si>
  <si>
    <t xml:space="preserve">En DELETE de Resguardo: dedup O(n²) con filter+indexOf y record.submitFields dentro de loop (1 write por retención; el write es necesario, el O(n²) no).</t>
  </si>
  <si>
    <t xml:space="preserve">2182-2184, 2189-2208</t>
  </si>
  <si>
    <t xml:space="preserve">CRT-B4</t>
  </si>
  <si>
    <t xml:space="preserve">Bloque JSON del Resguardo: record.load + save() completo para setear un solo campo (custbody_l598_resguardo_ret_det_json) → submitFields reduce costo sin cambiar el resultado (el load sigue siendo necesario para leer la sublista). Complementario —no sustituto— de la sugerencia CRT-A13.</t>
  </si>
  <si>
    <t xml:space="preserve">1858-1861, 1987-1989</t>
  </si>
  <si>
    <t xml:space="preserve">CRT-B5</t>
  </si>
  <si>
    <t xml:space="preserve">Cascada de búsquedas de configuración por cada Resguardo creado (~8 búsquedas secuenciales, ver mapa): consolidar/cachear lecturas de customrecord_l598_datos_impositivos_emp (hoy se consulta 3 veces por flujo: 341, 450, 579) manteniendo resultados idénticos.</t>
  </si>
  <si>
    <t xml:space="preserve">422-627, 2284-2366</t>
  </si>
  <si>
    <t xml:space="preserve">CRT-C1</t>
  </si>
  <si>
    <t xml:space="preserve">Mezcla var/let/const: los bloques más nuevos (acumulado, resguardo automático, config) usan var extensivamente, incluso re-declarando (var arrayRetencion en cada rama, var objRecord ver D6).</t>
  </si>
  <si>
    <t xml:space="preserve">932, 1093, 1223, 1325, 1427, 1530, 1558-1571, 1586-1670, 2370-2415</t>
  </si>
  <si>
    <t xml:space="preserve">CRT-C2</t>
  </si>
  <si>
    <t xml:space="preserve">Firmas posicionales tipo 1.0 en APIs 2.x: getParameter("custscript…") sin objeto {name}, getSublistValue(sublista, campo, i) posicional. Normalizar a options object sin cambiar semántica. (El removeLine(sublista, 1) de 2224 se excluye: su semántica está bajo CRT-A11.)</t>
  </si>
  <si>
    <t xml:space="preserve">415, 1627, 1873</t>
  </si>
  <si>
    <t xml:space="preserve">CRT-C3</t>
  </si>
  <si>
    <t xml:space="preserve">eval(c)/eval(d)/eval(u) en letras(): los argumentos ya son números (parseInt aguas arriba), eval de un no-string devuelve el argumento → reemplazo directo equivalente.</t>
  </si>
  <si>
    <t xml:space="preserve">34-36</t>
  </si>
  <si>
    <t xml:space="preserve">CRT-C4</t>
  </si>
  <si>
    <t xml:space="preserve">Restos SuiteScript 1.0 solo en comentarios (verificado: 0 llamadas 1.0 vivas): bloques muertos con nlapiDeleteRecord/nlapiLogExecution/nlapiSubmitRecord y el patrón getLineItemCount comentado que menciona docs/priorizacion-scripts.md:289 — confirmado en línea 2225. Eliminarlos.</t>
  </si>
  <si>
    <t xml:space="preserve">929, 952-965, 2044, 2145, 2171, 2186, 2196, 2220, 2225, 2227-2232, 2238-2253</t>
  </si>
  <si>
    <t xml:space="preserve">CRT-C5</t>
  </si>
  <si>
    <t xml:space="preserve">Number.prototype.toFixedOK extiende el prototipo nativo y se usa en redondeo de montos fiscales → mover a función de módulo con fórmula byte-idéntica (mismo patrón señalado en L598 - Descuento por Cuenta Ajena).</t>
  </si>
  <si>
    <t xml:space="preserve">19-22 (usos: 1147-1148, 1169-1170, 1550-1553, 2266, etc.)</t>
  </si>
  <si>
    <t xml:space="preserve">CRT-D1</t>
  </si>
  <si>
    <t xml:space="preserve">4 bloques casi idénticos IRPF/IRNR/IRAE/IVA (~100 líneas c/u) que postean asientos + detalle → helper parametrizado. Es la función fiscal más crítica: reestructurar el posteo de montos exige caracterización exhaustiva (coincide con docs/priorizacion-scripts.md:286).</t>
  </si>
  <si>
    <t xml:space="preserve">1138-1240, 1244-1341, 1345-1444, 1448-1546</t>
  </si>
  <si>
    <t xml:space="preserve">CRT-D2</t>
  </si>
  <si>
    <t xml:space="preserve">isEmpty e isEmptyOK son funcionalmente idénticas (mismos 5 chequeos en distinto orden) → unificar.</t>
  </si>
  <si>
    <t xml:space="preserve">8-16</t>
  </si>
  <si>
    <t xml:space="preserve">CRT-D3</t>
  </si>
  <si>
    <t xml:space="preserve">Dead code: sentencia suelta 999123456789; (254), asignaciones nunca usadas newRetencion (1571, 1646) y newVendorPayment (1670), bloque comentado de borrado de retención (952-965).</t>
  </si>
  <si>
    <t xml:space="preserve">254, 952-965, 1571, 1646, 1670</t>
  </si>
  <si>
    <t xml:space="preserve">CRT-D4</t>
  </si>
  <si>
    <t xml:space="preserve">Logs de depuración personales y de volcado: "braian9", "braian buscando error campos faltantes resguardo" (incluye JSON.stringify(objRecord) completo), "LINE 765"/"LINE 934" con números de línea desactualizados, dumps de JSON.</t>
  </si>
  <si>
    <t xml:space="preserve">1133, 2292-2297, 1855, 1885, 1561, 1635-1641</t>
  </si>
  <si>
    <t xml:space="preserve">CRT-D5</t>
  </si>
  <si>
    <t xml:space="preserve">~20 variables sin declarar en getNumberLiteral (rm0, m1…m3, r1…r8, tmp, tmp1, tmp2, tmpn1, tmpn2, pred, mldata, hlp, mdata, cdata), envueltas en / eslint-disable / → global leaks. La función es recursiva (262-263): declarar locales requiere verificación (análisis preliminar: sin dependencia real entre niveles de recursión).</t>
  </si>
  <si>
    <t xml:space="preserve">226-313</t>
  </si>
  <si>
    <t xml:space="preserve">CRT-D6</t>
  </si>
  <si>
    <t xml:space="preserve">var objRecord de afterSubmit (newRecord, 932) es re-declarado/reasignado con la URU-Retención cargada (1587) — shadowing confuso en función de 1000+ líneas; renombrar la segunda.</t>
  </si>
  <si>
    <t xml:space="preserve">932, 1587</t>
  </si>
  <si>
    <t xml:space="preserve">CRT-D7</t>
  </si>
  <si>
    <t xml:space="preserve">Funciones fuera de todo lineamiento: afterSubmit ~1072 líneas / 8+ niveles de anidamiento; beforeSubmit ~365 líneas con 7 responsabilidades distintas; extraer sub-funciones por bloque (validaciones, delete, monto escrito, comprobante FE, JSON resguardo).</t>
  </si>
  <si>
    <t xml:space="preserve">927-1998, 2003-2367</t>
  </si>
  <si>
    <t xml:space="preserve">CRT-D8</t>
  </si>
  <si>
    <t xml:space="preserve">obtenerTipoTransaccionLocal se declara con 2 parámetros pero se invoca con 3 (subsidiaria se ignora en silencio → la búsqueda de tipo local no filtra por subsidiaria). Alinear firma y documentar; agregar el filtro sería cambio de comportamiento (Grupo A).</t>
  </si>
  <si>
    <t xml:space="preserve">765 vs 2349</t>
  </si>
  <si>
    <t xml:space="preserve">CRT-D9</t>
  </si>
  <si>
    <t xml:space="preserve">beforeLoad recorre todos los resultados de la SS sobrescribiendo las mismas variables (decide con la última fila), mientras afterSubmit usa results[0] (la primera) — simplificar preservando la semántica actual de cada uno.</t>
  </si>
  <si>
    <t xml:space="preserve">887-895 vs 996</t>
  </si>
  <si>
    <t xml:space="preserve">#2 Governance</t>
  </si>
  <si>
    <t xml:space="preserve">SS customsearch_l598_transaction_det_ret (≥28 col, acceso posicional) → SuiteQL con SELECT específico o columnas nombradas</t>
  </si>
  <si>
    <t xml:space="preserve">Cachear esOneworld() por ejecución; condicionar la llamada incondicional de 2256-2259; getRange de existencia → end:1</t>
  </si>
  <si>
    <t xml:space="preserve">Dedup O(n²) → Set O(n) en DELETE de Resguardo</t>
  </si>
  <si>
    <t xml:space="preserve">#3 Performance</t>
  </si>
  <si>
    <t xml:space="preserve">save() completo → submitFields de 1 campo en el bloque JSON del Resguardo</t>
  </si>
  <si>
    <t xml:space="preserve">Consolidar/cachear cascada de búsquedas de configuración del Resguardo (3 lecturas de datos_impositivos_emp por flujo)</t>
  </si>
  <si>
    <t xml:space="preserve">#4 Patrones</t>
  </si>
  <si>
    <t xml:space="preserve">Eliminar eval() en letras() (uso directo equivalente)</t>
  </si>
  <si>
    <t xml:space="preserve">Firmas posicionales → options object (sin tocar removeLine de 2224, reservado a CRT-A11)</t>
  </si>
  <si>
    <t xml:space="preserve">Eliminar restos 1.0 comentados y bloques muertos</t>
  </si>
  <si>
    <t xml:space="preserve">var → const/let</t>
  </si>
  <si>
    <t xml:space="preserve">#5 Legibilidad</t>
  </si>
  <si>
    <t xml:space="preserve">Consolidar 4 bloques IRPF/IRNR/IRAE/IVA en helper parametrizado (posteo fiscal: requiere aprobación + caracterización exhaustiva)</t>
  </si>
  <si>
    <t xml:space="preserve">Extraer sub-funciones de afterSubmit/beforeSubmit</t>
  </si>
  <si>
    <t xml:space="preserve">Declarar variables implícitas de getNumberLiteral (verificando recursión)</t>
  </si>
  <si>
    <t xml:space="preserve">Unificar isEmpty/isEmptyOK</t>
  </si>
  <si>
    <t xml:space="preserve">Eliminar dead code (254, 1571, 1646, 1670, 952-965)</t>
  </si>
  <si>
    <t xml:space="preserve">Limpiar logs personales/dump (conservar log.error)</t>
  </si>
  <si>
    <t xml:space="preserve">Renombrar objRecord reasignado (1587)</t>
  </si>
  <si>
    <t xml:space="preserve">CRT-D8/D9</t>
  </si>
  <si>
    <t xml:space="preserve">Alinear firma obtenerTipoTransaccionLocal; simplificar loop de beforeLoad preservando semántica "última fila"</t>
  </si>
  <si>
    <t xml:space="preserve">#6 Reutilización</t>
  </si>
  <si>
    <t xml:space="preserve">toFixedOK prototype → función de módulo (fórmula byte-idéntica)</t>
  </si>
  <si>
    <t xml:space="preserve">4. Recomendaciones Grupo A (fuera del refactor — requieren aprobación Tekiio)</t>
  </si>
  <si>
    <t xml:space="preserve">Impacto de negocio</t>
  </si>
  <si>
    <t xml:space="preserve">Por qué requiere aprobación</t>
  </si>
  <si>
    <t xml:space="preserve">Hoy se pueden editar Resguardos ya considerados en una URU-Retención sin bloqueo: integridad del encadenamiento fiscal.</t>
  </si>
  <si>
    <t xml:space="preserve">Corregir la comparación activa una validación que hoy no corre → nuevo comportamiento visible (error ERR002 al usuario).</t>
  </si>
  <si>
    <t xml:space="preserve">Los URU-Retención Detalle quedan huérfanos al borrar una URU-Retención (más ruido de log por línea).</t>
  </si>
  <si>
    <t xml:space="preserve">Arreglarlo empieza a borrar registros que hoy sobreviven; impacto en reportes/históricos a validar.</t>
  </si>
  <si>
    <t xml:space="preserve">CRT-A3 + CRT-A4</t>
  </si>
  <si>
    <t xml:space="preserve">En OneWorld el Resguardo/pago automático falla en silencio (A3); sin registro de configuración, el default queda habilitado (A4). Juntos definen si el flujo automático corre o no.</t>
  </si>
  <si>
    <t xml:space="preserve">Cambian el resultado del flujo automático (crear o no crear Resguardo/pago). Necesita definición funcional de cuál es el comportamiento esperado por subsidiaria.</t>
  </si>
  <si>
    <t xml:space="preserve">Datos fiscales del Resguardo (dirección/ciudad/país/CP, origen) pueden viajar como objeto serializado al SL de creación.</t>
  </si>
  <si>
    <t xml:space="preserve">Corregir la extracción cambia el contenido de campos fiscales emitidos.</t>
  </si>
  <si>
    <t xml:space="preserve">CRT-A6 + CRT-A8</t>
  </si>
  <si>
    <t xml:space="preserve">Monto escrito del Resguardo: errores silenciados con "undefined" y texto "MIL" espurio en montos ≥1M con miles=0 (documento impreso/CFE).</t>
  </si>
  <si>
    <t xml:space="preserve">Altera el texto fiscal generado; validar con casos reales antes de tocar.</t>
  </si>
  <si>
    <t xml:space="preserve">CRT-A7 + CRT-A9</t>
  </si>
  <si>
    <t xml:space="preserve">Pérdida silenciosa de filas &gt;1000 y JSON de detalle no seteado ante columnas nulas.</t>
  </si>
  <si>
    <t xml:space="preserve">Paginar/guardar cambia resultados en volúmenes altos (comportamiento observable).</t>
  </si>
  <si>
    <t xml:space="preserve">Arquitectura de hasta 5 ejecuciones encadenadas síncronas sin validación de respuesta: lentitud (5.4s medidos) y fallas downstream invisibles.</t>
  </si>
  <si>
    <t xml:space="preserve">Consolidar Suitelets o validar respuestas es un cambio arquitectónico/contractual — decisión del cliente.</t>
  </si>
  <si>
    <t xml:space="preserve">La limpieza de referencias CFE al borrar Resguardos probablemente nunca completa su save().</t>
  </si>
  <si>
    <t xml:space="preserve">Corregir índice/semántica de removeLine cambia el estado resultante del borrado.</t>
  </si>
  <si>
    <t xml:space="preserve">vendorcredit no recibe fecha de vencimiento de retención en beforeSubmit (el fallback de 941 la cubre parcialmente).</t>
  </si>
  <si>
    <t xml:space="preserve">Confirmar si es decisión u omisión antes de ampliar cobertura.</t>
  </si>
  <si>
    <t xml:space="preserve">Criterio #8: mover el bloque JSON del Resguardo de afterSubmit (load+save) a beforeSubmit eliminaría una escritura completa — principal ahorro de GU/tiempo del flujo Resguardo.</t>
  </si>
  <si>
    <t xml:space="preserve">Cambio de entry point: solo sugerencia, impacto funcional no evidente (disponibilidad de ids de detalle en CREATE a verificar en cuenta).</t>
  </si>
  <si>
    <t xml:space="preserve">L598 - Asignar Rubro IVA</t>
  </si>
  <si>
    <t xml:space="preserve">Fuente: docs/refactors/4-asignar-rubro-iva.md · Estado: Plan de Cambios + registro-aprobaciones.md</t>
  </si>
  <si>
    <t xml:space="preserve">ARI-A1</t>
  </si>
  <si>
    <t xml:space="preserve">Patrón afterSubmit + record.load() + save() para setear campos calculados. Migrar a beforeSubmit sobre newRecord eliminaría load+save y la cascada de re-disparo de UEs. Criterio #8: solo sugerencia.</t>
  </si>
  <si>
    <t xml:space="preserve">38, 224; entry point único 470-472</t>
  </si>
  <si>
    <t xml:space="preserve">ARI-A2</t>
  </si>
  <si>
    <t xml:space="preserve">Loop de publicidad de ítems accede resultado[0].aplicaPublicidad sin validar longitud; el loop análogo de expensas sí valida (resultado.length &gt; 0). Un ítem sin match → TypeError → catch global (228) → save() (224) nunca corre y se pierden TODOS los seteos de la ejecución, incluidos los de setearRubrosIVA ya calculados en memoria.</t>
  </si>
  <si>
    <t xml:space="preserve">159-161 vs 207-209; try global 35-232</t>
  </si>
  <si>
    <t xml:space="preserve">ARI-A3</t>
  </si>
  <si>
    <t xml:space="preserve">Guards de no-sobrescritura comentados: el script siempre pisa custcol_l598_rubro_iva en cada create/edit (incluso valores manuales) y lo limpia con '' cuando no hay mapeo (349). custcol_l598_rubro_iva_equival_ventas, en cambio, nunca se limpia (asimetría). Reinstaurar o no el guard es decisión de negocio (gotcha fiscal).</t>
  </si>
  <si>
    <t xml:space="preserve">315, 338, 343, 351; limpieza 348-350</t>
  </si>
  <si>
    <t xml:space="preserve">ARI-A4</t>
  </si>
  <si>
    <t xml:space="preserve">(nuevo) Inconsistencia guard/valor en ventas: la condición valida idRubroIVA (339), pero para tipos ≠ vendorbill/vendorcredit getRubro devuelve rubroIVAEquivalente (367-371). Un mapeo con rubro de compra sin equivalente escribiría vacío en la línea de venta. Hecho: la asimetría en código. Inferencia: el impacto depende de datos de las SS — validar con negocio.</t>
  </si>
  <si>
    <t xml:space="preserve">339-341, 364-376</t>
  </si>
  <si>
    <t xml:space="preserve">ARI-A5</t>
  </si>
  <si>
    <t xml:space="preserve">save({ enableSourcing: false, ignoreMandatoryFields: true }) — puede persistir registros con obligatorios incompletos sin aviso. Sin evidencia en código de por qué es necesario.</t>
  </si>
  <si>
    <t xml:space="preserve">224</t>
  </si>
  <si>
    <t xml:space="preserve">ARI-A6</t>
  </si>
  <si>
    <t xml:space="preserve">(nuevo) custscript_l598_rubro_publicidad se usa como value sin validar isEmpty (a diferencia del patrón del proyecto): con el parámetro vacío, borraría el rubro de las líneas con publicidad.</t>
  </si>
  <si>
    <t xml:space="preserve">30; usos 166, 214</t>
  </si>
  <si>
    <t xml:space="preserve">ARI-B1</t>
  </si>
  <si>
    <t xml:space="preserve">filter dentro de loops por línea → O(n×m). Indexar con Map (primer match gana), análogo a STC-B1: matching de rubros (317-319 y re-filtro expense 326-328), publicidad ítems (159), publicidad expensas (207).</t>
  </si>
  <si>
    <t xml:space="preserve">317-319, 326-328, 159, 207</t>
  </si>
  <si>
    <t xml:space="preserve">ARI-B2</t>
  </si>
  <si>
    <t xml:space="preserve">Búsquedas incondicionales: las 2 SS de mapeo corren antes de conocer los line counts (48, 51 vs 70-76, 90-96) — en ventas sin sublista expense la SS de cuentas se ejecuta igual. Además l598esOneworld() ejecuta una búsqueda por corrida (L598 - Utilities.js 50-90) solo para decidir si leer subsidiary. Reordenar/condicionar.</t>
  </si>
  <si>
    <t xml:space="preserve">41, 48, 51, 70-76, 90-96</t>
  </si>
  <si>
    <t xml:space="preserve">ARI-B3</t>
  </si>
  <si>
    <t xml:space="preserve">Dos búsquedas ad-hoc con run().getRange({start:0,end:1000}) sin paginación (patrón de truncamiento del proyecto; utilities.searchSavedPro 221-234 sí pagina). Riesgo práctico bajo (dominio acotado: ítems de la propia transacción / cuentas con flag), pero &gt;1000 filas se descartan en silencio — y combinado con ARI-A2, un ítem fuera del top-1000 dispara el TypeError. Comportamiento idéntico ≤1000; el borde &gt;1000 es corrección de bug latente (si Tekiio prefiere, tratarlo como A).</t>
  </si>
  <si>
    <t xml:space="preserve">135-138, 188-191</t>
  </si>
  <si>
    <t xml:space="preserve">ARI-B4</t>
  </si>
  <si>
    <t xml:space="preserve">SS candidatas SuiteQL/Workbooks (prioritario v2): las 2 SS de mapeo (47, 50), la búsqueda de cuentas con publicidad (176-186) y la búsqueda agrupada de ítems (111-133). SELECT específico de 4 columnas. Es reemplazo de mecanismo completo → Alto riesgo por definición del proyecto, requiere validar mapeo idéntico de columnas/nulls.</t>
  </si>
  <si>
    <t xml:space="preserve">47, 50, 111-133, 176-186</t>
  </si>
  <si>
    <t xml:space="preserve">ARI-B5</t>
  </si>
  <si>
    <t xml:space="preserve">searchSavedPro ya materializa los resultados en .array (L598 - Utilities.js 238, 250-291) y getRubrosIVA lo ignora y re-mapea a mano (417-438): doble recorrido filas×columnas por búsqueda. Consolidar del lado de este script (sin tocar el módulo compartido).</t>
  </si>
  <si>
    <t xml:space="preserve">406, 414-438</t>
  </si>
  <si>
    <t xml:space="preserve">ARI-C1</t>
  </si>
  <si>
    <t xml:space="preserve">var en todo el script (un único let en 340) → const/let. @NApiVersion 2.1 ya correcto (línea 2).</t>
  </si>
  <si>
    <t xml:space="preserve">global</t>
  </si>
  <si>
    <t xml:space="preserve">ARI-C2</t>
  </si>
  <si>
    <t xml:space="preserve">Sintaxis mixta de getSublistValue: posicional (295-296) vs objeto (293-294). Unificar a la forma con objeto (documentada en 2.x).</t>
  </si>
  <si>
    <t xml:space="preserve">295-296</t>
  </si>
  <si>
    <t xml:space="preserve">ARI-C3</t>
  </si>
  <si>
    <t xml:space="preserve">Literales de summary inconsistentes: summary: "group" (142) vs "GROUP" (143) → search.Summary.GROUP. Ambos funcionan hoy (evidencia: producción operativa); unificar.</t>
  </si>
  <si>
    <t xml:space="preserve">142-143</t>
  </si>
  <si>
    <t xml:space="preserve">ARI-D1</t>
  </si>
  <si>
    <t xml:space="preserve">Dead code: createError (459-468) nunca invocada (llamadas comentadas en 83, 103, 231) → permite quitar N/error del define (9); var name sin uso (25); bloque debug comentado (58-66); restos comentados (287, 297, 315, 338, 343, 351); return true sin efecto en UE (235).</t>
  </si>
  <si>
    <t xml:space="preserve">ARI-D2</t>
  </si>
  <si>
    <t xml:space="preserve">Lecturas muertas por línea: rubroIVA (293) y rubroIVAEquivalente (294) se leen y no se usan (el guard que las usaba está comentado) → 2 getSublistValue desperdiciados por línea.</t>
  </si>
  <si>
    <t xml:space="preserve">293-294</t>
  </si>
  <si>
    <t xml:space="preserve">ARI-D3</t>
  </si>
  <si>
    <t xml:space="preserve">Duplicación: para expensas sin tax code, el filtro de 317-319 y el de 326-328 son la misma búsqueda (misma clave y mismo array) ejecutada dos veces. Cross-script: _refreshApplyTranList (238-267) duplica desaplicarYAplicarNC de Seteo de Tax Codes (137-161 de ese archivo) con cobertura distinta (solo creditmemo vs creditmemo+vendorcredit) — unificación fuera de alcance, se documenta.</t>
  </si>
  <si>
    <t xml:space="preserve">317-333, 238-267</t>
  </si>
  <si>
    <t xml:space="preserve">ARI-D4</t>
  </si>
  <si>
    <t xml:space="preserve">afterSubmit de ~215 líneas (22-236): extraer el bloque de publicidad (110-222) a función. JSDoc desactualizado: cabecera dice "before record is save" (14) y la de setearRubrosIVA documenta parámetros inexistentes (idFieldKey, 269-281 vs firma real 282). Pasar '' como array de resultados (77) es frágil (string donde se espera array).</t>
  </si>
  <si>
    <t xml:space="preserve">22-236, 269-282, 77</t>
  </si>
  <si>
    <t xml:space="preserve">ARI-D5</t>
  </si>
  <si>
    <t xml:space="preserve">Logs de dump: log.audit con el JSON completo de ambas SS (53-54), dump de parámetros por llamada (288), log.debug por línea (160, 208, 335). Reducir conservando log.error.</t>
  </si>
  <si>
    <t xml:space="preserve">53-54, 288, 160, 208, 335</t>
  </si>
  <si>
    <t xml:space="preserve">ARI-D6</t>
  </si>
  <si>
    <t xml:space="preserve">getRubro (364-376): parámetro paramSublist sin uso, catch que devuelve undefined en silencio, naming genérico. Simplificar preservando la semántica exacta (la corrección del guard/valor es ARI-A4, no entra acá).</t>
  </si>
  <si>
    <t xml:space="preserve">364-376</t>
  </si>
  <si>
    <t xml:space="preserve">ARI-D7</t>
  </si>
  <si>
    <t xml:space="preserve">Acceso posicional a columnas de las SS de mapeo (columns[0..3], 422-437): reordenar columnas en la SS reasignaría rubros sin error de compilación. Mitigar documentando el contrato de 4 columnas (o migrar junto con ARI-B4).</t>
  </si>
  <si>
    <t xml:space="preserve">417-438</t>
  </si>
  <si>
    <t xml:space="preserve">Ejecutar SS de mapeo solo si hay líneas que procesar; evaluar evitar la búsqueda de l598esOneworld</t>
  </si>
  <si>
    <t xml:space="preserve">Paginación en las 2 búsquedas ad-hoc (135-138, 188-191)</t>
  </si>
  <si>
    <t xml:space="preserve">Migración SS → SuiteQL/Workbooks (prioritario v2)</t>
  </si>
  <si>
    <t xml:space="preserve">filter-en-loop → Map indexado (primer match gana)</t>
  </si>
  <si>
    <t xml:space="preserve">Eliminar re-mapeo manual duplicado de resultados en getRubrosIVA</t>
  </si>
  <si>
    <t xml:space="preserve">Unificar getSublistValue a sintaxis de objeto</t>
  </si>
  <si>
    <t xml:space="preserve">search.Summary.GROUP en lugar de literales mixtos</t>
  </si>
  <si>
    <t xml:space="preserve">Documentar/robustecer contrato posicional de columnas de SS</t>
  </si>
  <si>
    <t xml:space="preserve">Eliminar dead code (createError, N/error, comentados, return true)</t>
  </si>
  <si>
    <t xml:space="preserve">Eliminar lecturas muertas por línea (293-294)</t>
  </si>
  <si>
    <t xml:space="preserve">Extraer bloque publicidad; corregir JSDoc</t>
  </si>
  <si>
    <t xml:space="preserve">Reducir logs de dump (conservar log.error)</t>
  </si>
  <si>
    <t xml:space="preserve">Dedup del doble filtro de expensas</t>
  </si>
  <si>
    <t xml:space="preserve">Simplificar getRubro preservando semántica</t>
  </si>
  <si>
    <t xml:space="preserve">L598 - Conexion Directa FE (SS)</t>
  </si>
  <si>
    <t xml:space="preserve">Fuente: docs/refactors/5-conexion-directa-fe-ss.md · Estado: Plan de Cambios + registro-aprobaciones.md</t>
  </si>
  <si>
    <t xml:space="preserve">Grupo A — Correctitud (NO entran al refactor; recomendación separada)</t>
  </si>
  <si>
    <t xml:space="preserve">Hecho/Inferencia</t>
  </si>
  <si>
    <t xml:space="preserve">Riesgo del fix</t>
  </si>
  <si>
    <t xml:space="preserve">CDF-A1</t>
  </si>
  <si>
    <t xml:space="preserve">getMetodosPago: formaPagoNetSuite no está declarada en ningún lugar del archivo (único match del grep: 4042). En la rama de forma de pago simple (la más común: formaPagoMultiple != formaPago, 4024/4040) lanza ReferenceError → atrapado por el catch (4057-4061) que solo hace log.debug → response.error=true → detalleMetodosPago queda siempre vacío en el CFE (1430-1434). La rama múltiple (getPagosSublistas) sí funciona.</t>
  </si>
  <si>
    <t xml:space="preserve">4042; llamada incondicional en 1430</t>
  </si>
  <si>
    <t xml:space="preserve">Hecho (estático, determinístico)</t>
  </si>
  <si>
    <t xml:space="preserve">CDF-A2</t>
  </si>
  <si>
    <t xml:space="preserve">envioEmail nunca envía el mail, por triple defecto: (a) usa isEmpty(...) y userActual, ninguno definido (1303) → ReferenceError antes de email.send (1307); (b) el catch loguea con proceso, tampoco definido en esa función (1318) → segundo ReferenceError que escapa de envioEmail y cae en el catch general de afterSubmit (1142); (c) la llamada pasa 10 argumentos (1072, incluye userObj.id) contra una firma de 9 parámetros (1234) — el usuario actual nunca llega, que es justamente lo que userActual intentaba ser.</t>
  </si>
  <si>
    <t xml:space="preserve">1303, 1318, 1072 vs 1234</t>
  </si>
  <si>
    <t xml:space="preserve">Hecho</t>
  </si>
  <si>
    <t xml:space="preserve">CDF-A3</t>
  </si>
  <si>
    <t xml:space="preserve">Rama de anulación de resguardo: el lookupFields pide la columna custentity_l598_tipo_documento (1626) pero el código accede informacionCliente.custbody_l598_tipo_comprobante[0].value (1634) → propiedad inexistente → TypeError → catch general (3593) marca el documento con error. Toda customtransaction_l598_anul_resguardo con NC vinculada entra a esta rama (1619).</t>
  </si>
  <si>
    <t xml:space="preserve">1619-1641</t>
  </si>
  <si>
    <t xml:space="preserve">Hecho por lectura; confirmar en sandbox que la rama se ejercita</t>
  </si>
  <si>
    <t xml:space="preserve">CDF-A4</t>
  </si>
  <si>
    <t xml:space="preserve">Detalle de retenciones de resguardos: search.load('customsearch_l598_obt_inf_uru_det_ret') + getRange({start:0,end:1000}) sin bucle de paginación (2724-2734) — truncamiento silencioso si el resguardo vincula &gt;1000 detalles. Reemplazó una versión comentada que sí paginaba vía utilities.searchSavedPro (2736-2744; searchSavedPro pagina con do/while, verificado en L598 - Utilities.js:221-234).</t>
  </si>
  <si>
    <t xml:space="preserve">2724-2744</t>
  </si>
  <si>
    <t xml:space="preserve">CDF-A5</t>
  </si>
  <si>
    <t xml:space="preserve">Bloques Costo de Envío (2951-3133) y Costo de Manipulación (3135-3315) están muertos: costoEnvio = "" (2954) y CostoManipulacion = "" (3140) se hardcodean justo antes de la condición que los habilitaría (2956, 3144). Si el negocio espera esos costos como línea del CFE, hoy no viajan a DGI. No se puede determinar del código si es funcionalidad deshabilitada a propósito.</t>
  </si>
  <si>
    <t xml:space="preserve">2954-2956, 3140-3144</t>
  </si>
  <si>
    <t xml:space="preserve">Hecho (código muerto); intención = duda funcional</t>
  </si>
  <si>
    <t xml:space="preserve">🔴 confirmar antes de corregir o eliminar</t>
  </si>
  <si>
    <t xml:space="preserve">CDF-A6</t>
  </si>
  <si>
    <t xml:space="preserve">getLineCount(string) en 2 llamadas: getLineCount(tipoSublistaConsultar) (1995, loop principal de líneas) y getLineCount(sublistaRefCFE) (2926, referencias de resguardo), contra las 9 llamadas correctas con {sublistId} del mismo archivo (641, 1977, 2673, 2697, 3720, 3815, 3855, 4094, 4203). La forma string no está documentada en la API 2.x; los CFE salen con líneas en producción, así que hoy es tolerada, pero es frágil ante cambios de runtime. Normalizarla toca el loop del cálculo fiscal → validar con caracterización antes de aplicar.</t>
  </si>
  <si>
    <t xml:space="preserve">1995, 2926</t>
  </si>
  <si>
    <t xml:space="preserve">Hecho (inconsistencia); tolerancia del runtime = inferencia apoyada en que producción funciona</t>
  </si>
  <si>
    <t xml:space="preserve">🟡 con caracterización</t>
  </si>
  <si>
    <t xml:space="preserve">CDF-A7</t>
  </si>
  <si>
    <t xml:space="preserve">Reentrancia sin guard: afterSubmit hace save() de la misma transacción que disparó el evento (811) y otro en grabarDatosCAE (3838), sin chequear runtime.executionContext ni marca de re-disparo. Si el deployment no filtra contexto, cada guardado re-dispararía este UE (y los demás de la transacción), multiplicando el costo medido.</t>
  </si>
  <si>
    <t xml:space="preserve">811, 3838, 537 (types que disparan)</t>
  </si>
  <si>
    <t xml:space="preserve">Inferencia — depende del context filtering del deployment (no visible en el repo); confirmar con logs de ejecución</t>
  </si>
  <si>
    <t xml:space="preserve">CDF-A8</t>
  </si>
  <si>
    <t xml:space="preserve">Degradación de diagnóstico (menor): en el loop de resguardos se loguea log.error(proceso, mensaje) con mensaje (hoisted, normalmente undefined) en lugar de mensajeError (2894, 2902, 2919); en la validación de subtotal se chequea 2 veces descripcionLinea y nunca transImporte (2593); el mensaje de error solo pierde detalle, el flujo de error es el mismo.</t>
  </si>
  <si>
    <t xml:space="preserve">2894, 2902, 2919, 2593</t>
  </si>
  <si>
    <t xml:space="preserve">CDF-B1</t>
  </si>
  <si>
    <t xml:space="preserve">customsearch_l598_trans_gen_cae_con_dire: ≥89 columnas accedidas por índice posicional (columns[0]…columns[88], p. ej. 622-635, 1373-1382, 3376-3386) en el corazón del flujo CAE. Candidata prioritaria a SuiteQL/Workbook (criterio v2-b/c): exceso de columnas, fragilidad ante reordenamiento (rompe en runtime sin error de compilación) y costo de GU. Reemplazo estructural → iniciativa propia con regresión completa.</t>
  </si>
  <si>
    <t xml:space="preserve">602, 3385</t>
  </si>
  <si>
    <t xml:space="preserve">CDF-B2</t>
  </si>
  <si>
    <t xml:space="preserve">beforeLoad en cada VIEW hace record.load completo (95-98) solo para leer 5 campos, y encima getConfigurationFE vuelve a consultar la misma transacción por lookupFields (212). Consolidar en un único lookupFields elimina la carga completa por visualización.</t>
  </si>
  <si>
    <t xml:space="preserve">95-98, 110-122, 212</t>
  </si>
  <si>
    <t xml:space="preserve">CDF-B3</t>
  </si>
  <si>
    <t xml:space="preserve">utilities.l598esOneworld() ejecuta una búsqueda cada llamada (L598 - Utilities.js:50-90) y se invoca 2 veces por afterSubmit (198 vía getConfigurationFE + 581) y 1 por beforeLoad. Es una constante de la cuenta → memoizar a nivel módulo.</t>
  </si>
  <si>
    <t xml:space="preserve">198, 581</t>
  </si>
  <si>
    <t xml:space="preserve">CDF-B4</t>
  </si>
  <si>
    <t xml:space="preserve">parseDate hace config.load(COMPANY_INFORMATION) en cada llamada (1336); lo llaman grabarError (1162 — o sea, cada log FE, éxito o error) y afterSubmit (700). Cachear el timezone por ejecución. Además calcula companyDateTime2 que solo se loguea (1340-1341).</t>
  </si>
  <si>
    <t xml:space="preserve">1322-1344</t>
  </si>
  <si>
    <t xml:space="preserve">CDF-B5</t>
  </si>
  <si>
    <t xml:space="preserve">Modo automático: doble load + doble save de la misma transacción (539/811 y 848/3838). La consolidación (o submitFields para los campos de cabecera del CAE) reduce GU y triggers, pero cambia el mecanismo de persistencia de un flujo fiscal → solo con aprobación y regresión (mismo patrón ya señalado en Actualizar Inf Transacciones FE).</t>
  </si>
  <si>
    <t xml:space="preserve">539, 811, 848, 3838</t>
  </si>
  <si>
    <t xml:space="preserve">CDF-B6</t>
  </si>
  <si>
    <t xml:space="preserve">Logging de alto volumen dentro del loop de líneas: log.debug por línea e iteración (2206, 2209, 2213, 2218, 2247) más JSON.stringify de objetos grandes (resultadoIndividual completo en 3372, objetoRespuesta completo en 3601, loadSearch en 2729). En un remito de N líneas son 5N+ escrituras de log; contribuye al tiempo real medido.</t>
  </si>
  <si>
    <t xml:space="preserve">2206-2247, 3372, 3601</t>
  </si>
  <si>
    <t xml:space="preserve">CDF-B7</t>
  </si>
  <si>
    <t xml:space="preserve">searchSavedPro construye siempre un array procesado extra (armarArreglosSS, L598 - Utilities.js:238) que este script nunca consume (usa .result/.search). Para la SS de 89 columnas es CPU desperdiciada por fila. Fix en utilities_REF (convención §5 de la metodología) para no contaminar otros consumidores.</t>
  </si>
  <si>
    <t xml:space="preserve">Utilities.js:238-239</t>
  </si>
  <si>
    <t xml:space="preserve">CDF-C1</t>
  </si>
  <si>
    <t xml:space="preserve">Mezcla masiva var/let/const con hoisting explotado (p. ej. montoItem logueado en 2213 antes de declararse en 2216; mensaje de 1668 leído en 2894). Migrar a const/let con alcance de bloque.</t>
  </si>
  <si>
    <t xml:space="preserve">todo el archivo</t>
  </si>
  <si>
    <t xml:space="preserve">CDF-C2</t>
  </si>
  <si>
    <t xml:space="preserve">Restos SuiteScript 1.0 solo en comentarios: nlapiLookupField (1620, 1686-1688, 1771), nlobjSearchFilter/Column (2987-2990), nlapiLogExecution (2512, 3584 — ambos dentro de bloques comentados). No hay 1.0 vivo; se eliminan junto con el dead code.</t>
  </si>
  <si>
    <t xml:space="preserve">grep verificado</t>
  </si>
  <si>
    <t xml:space="preserve">⏳ Propuesto (dentro de CDF-D2)</t>
  </si>
  <si>
    <t xml:space="preserve">CDF-C3</t>
  </si>
  <si>
    <t xml:space="preserve">Number.prototype.toFixedOK (3616-3619) extiende el prototipo nativo y se usa ~45 veces en montos fiscales. Mover a función de módulo sin alterar la fórmula de redondeo (mismo patrón ya detectado en Descuento por Cuenta Ajena y Balance Tributario).</t>
  </si>
  <si>
    <t xml:space="preserve">3616-3619</t>
  </si>
  <si>
    <t xml:space="preserve">CDF-C4</t>
  </si>
  <si>
    <t xml:space="preserve">Imports sin uso: N/error (0 referencias) y N/transaction usado únicamente por la función muerta voidJournalPagosMultiples (4167). N/email queda condicionado a la decisión sobre CDF-A2.</t>
  </si>
  <si>
    <t xml:space="preserve">define 9-11</t>
  </si>
  <si>
    <t xml:space="preserve">CDF-C5</t>
  </si>
  <si>
    <t xml:space="preserve">Patrón parseFloat(x, 10) en decenas de expresiones — parseFloat no acepta radix, el segundo argumento se ignora. Limpieza cosmética sin cambio de resultado; también parseInt(10, 10) (642).</t>
  </si>
  <si>
    <t xml:space="preserve">642, 2125, 2131 y decenas más</t>
  </si>
  <si>
    <t xml:space="preserve">CDF-D1</t>
  </si>
  <si>
    <t xml:space="preserve">buscarInformacionFE: ~2.246 líneas (1358-3603), &gt;12 niveles de anidamiento, ~60 variables mutables compartidas entre bloques (importes de IVA por tasa, banderas de error). Es la función fiscal central: su división es una iniciativa dedicada con cobertura de caracterización previa, no un cambio incremental.</t>
  </si>
  <si>
    <t xml:space="preserve">1358-3603</t>
  </si>
  <si>
    <t xml:space="preserve">⏳ Pendiente aprobación Tekiio · plan: 💡 Candidato</t>
  </si>
  <si>
    <t xml:space="preserve">CDF-D2</t>
  </si>
  <si>
    <t xml:space="preserve">Código muerto: 4 funciones jamás invocadas — voidJournalPagosMultiples (4120-4186), UnapplyInvoices (4188-4238), setTimeout con busy-wait (4240-4247), getChequesByCustpayment (4249-4284) — aparentemente copiadas de Setear Valores Anulacion Cobranza; + padding_left duplicada (1346 vs 3621); + bloques comentados grandes (2507-2565, 2703-2744, 3322-3339, 3558-3585, 2783-2793, 1597-1611). Arrastran 2 Saved Searches fantasma (4137, 4261).</t>
  </si>
  <si>
    <t xml:space="preserve">grep: solo definiciones, cero llamadas</t>
  </si>
  <si>
    <t xml:space="preserve">CDF-D3</t>
  </si>
  <si>
    <t xml:space="preserve">Global leaks (asignación sin declaración): importeNoFacturable/cantidadLineas en afterSubmit (734-735, además escriben sobre nombres que buscarInformacionFE usa como locales), currentDateTime (1335), codigoMonedaTransaccion (1768/1770), columnaAcumIndFacturacionDescRec (1849), porcentajeParaAplicar (1856), infoPercepcion (2023, 2768), informacionLinea (2227, 2799), informacionSubTotal (2581), infoRetencion (2819), costoEnvio (2954), CostoManipulacion (3140). Declararlas localmente — sin tocar la semántica de CDF-A5.</t>
  </si>
  <si>
    <t xml:space="preserve">líneas citadas</t>
  </si>
  <si>
    <t xml:space="preserve">CDF-D4</t>
  </si>
  <si>
    <t xml:space="preserve">Filtro duplicado idéntico en getConfigurationFE: el mismo push de custrecord_l598_prov_fe_comp_dgi_tip_com se hace dos veces seguidas (252-259 y 261-268) — la SS recibe el filtro repetido; inocuo pero confuso.</t>
  </si>
  <si>
    <t xml:space="preserve">252-268</t>
  </si>
  <si>
    <t xml:space="preserve">CDF-D5</t>
  </si>
  <si>
    <t xml:space="preserve">codigoPercEncontrado == true; — comparación donde debía haber asignación (2298): el flag del loop nunca se setea. Sin efecto observable hoy porque los códigos del acumulador son únicos por construcción (solo se pushean si no existen, 2311-2321), pero es un bug lógico latente; corregirlo es byte-idéntico.</t>
  </si>
  <si>
    <t xml:space="preserve">2296-2302</t>
  </si>
  <si>
    <t xml:space="preserve">CDF-D6</t>
  </si>
  <si>
    <t xml:space="preserve">Logs con marcadores desincronizados: ~90 mensajes 'LINE NNN' que no corresponden a las líneas reales del archivo (p. ej. LINE 95 en 138, LINE 2436 en 3600) — sabotean el diagnóstico en producción.</t>
  </si>
  <si>
    <t xml:space="preserve">138, 151, 291, 3600, etc.</t>
  </si>
  <si>
    <t xml:space="preserve">CDF-D7</t>
  </si>
  <si>
    <t xml:space="preserve">Cosmética: dobles ;; (2802-2804), new Array()/new Object() (2676, 2312, 3891), naming inconsistente (referenciaGloabal, 3376).</t>
  </si>
  <si>
    <t xml:space="preserve">3. Plan de Cambios propuesto (solo B/C/D — ordenado por criterio #1→#6)</t>
  </si>
  <si>
    <t xml:space="preserve">Migrar customsearch_l598_trans_gen_cae_con_dire (89 col. posicionales) a SuiteQL/Workbook — propuesta dedicada, prioridad v2 del cliente</t>
  </si>
  <si>
    <t xml:space="preserve">beforeLoad: reemplazar record.load completo por el lookupFields que ya existe en getConfigurationFE (una sola consulta)</t>
  </si>
  <si>
    <t xml:space="preserve">Memoizar l598esOneworld() por ejecución (hoy 2-3 búsquedas idénticas por evento)</t>
  </si>
  <si>
    <t xml:space="preserve">Cachear timezone en parseDate (elimina config.load por cada log FE) + quitar cálculo muerto companyDateTime2</t>
  </si>
  <si>
    <t xml:space="preserve">utilities_REF: armarArreglosSS bajo demanda en searchSavedPro</t>
  </si>
  <si>
    <t xml:space="preserve">Quitar log.debug por línea del loop y JSON.stringify de objetos grandes (conservar log.error)</t>
  </si>
  <si>
    <t xml:space="preserve">Eliminar N/error del define; N/transaction cae con CDF-D2</t>
  </si>
  <si>
    <t xml:space="preserve">toFixedOK: de prototype a función de módulo, fórmula intacta</t>
  </si>
  <si>
    <t xml:space="preserve">Limpiar parseFloat(x,10)/parseInt(10,10) (radix inerte)</t>
  </si>
  <si>
    <t xml:space="preserve">var → const/let con alcance de bloque</t>
  </si>
  <si>
    <t xml:space="preserve">Declarar los ≥12 global leaks (sin cambiar la semántica de CDF-A5)</t>
  </si>
  <si>
    <t xml:space="preserve">Quitar el filtro duplicado (252-268)</t>
  </si>
  <si>
    <t xml:space="preserve">codigoPercEncontrado = (asignación) — byte-idéntico, documentado en el informe del refactor</t>
  </si>
  <si>
    <t xml:space="preserve">CDF-D6/D7</t>
  </si>
  <si>
    <t xml:space="preserve">Corregir/retirar marcadores LINE NNN y cosmética</t>
  </si>
  <si>
    <t xml:space="preserve">Eliminar funciones muertas (4120-4284), padding_left duplicada y bloques comentados con restos 1.0 (CDF-C2)</t>
  </si>
  <si>
    <t xml:space="preserve">División de buscarInformacionFE — iniciativa dedicada, no entra en esta ola</t>
  </si>
  <si>
    <t xml:space="preserve">💡 Candidato</t>
  </si>
  <si>
    <t xml:space="preserve">L598 - Setear Unidad Indexada</t>
  </si>
  <si>
    <t xml:space="preserve">Fuente: docs/refactors/6-setear-unidad-indexada.md · Estado: Plan de Cambios + registro-aprobaciones.md</t>
  </si>
  <si>
    <t xml:space="preserve">SUI-A1</t>
  </si>
  <si>
    <t xml:space="preserve">Patrón afterSubmit + record.submitFields: segunda escritura completa del registro después de que el sistema ya lo guardó; re-dispara los UserEvents de otros scripts en contexto xedit. La mejora natural (beforeSubmit + setValue) es cambio de entry point → criterio v2 #8: solo sugerencia. ✔ Verifica el hallazgo del baseline (priorizacion-scripts.md:235-236). Ojo: este cambio NO resuelve UAT-12 por sí solo (ver §4).</t>
  </si>
  <si>
    <t xml:space="preserve">L598 - Setear Unidad Indexada.js:13,21,62-72</t>
  </si>
  <si>
    <t xml:space="preserve">SUI-A2</t>
  </si>
  <si>
    <t xml:space="preserve">Deadlock con la validación 5000 UI — origen probable de UAT-12. El campo solo se puebla post-guardado, pero un Client Script lo exige antes del primer guardado en e-Tickets. Flujo completo con líneas en §4.</t>
  </si>
  <si>
    <t xml:space="preserve">multi-archivo, ver §4</t>
  </si>
  <si>
    <t xml:space="preserve">SUI-A3</t>
  </si>
  <si>
    <t xml:space="preserve">Caminos silenciosos que dejan el campo vacío (hecho, por lectura del código): (a) rama TAFACE con SS de config UI vacía/con error → retorna '' (líneas 127, 133, 146-148) → el guard de la línea 60 no escribe; (b) rama no-TAFACE: si currency.exchangeRate({source:'UI',target:'UYU'}) lanza (p. ej. sin cotización UI del día), el catch general solo loguea (75-76) y no escribe; (c) rate ≤ 0 o no numérico → no escribe (60). Además, si getConfigFE falla, el catch (117-120) devuelve false y el script cambia silenciosamente de fuente (usa el tipo de cambio NS en lugar del valor TAFACE configurado). Toda transacción que quede así con el campo vacío es candidata a bloquearse en un edit posterior por la validación de §4.</t>
  </si>
  <si>
    <t xml:space="preserve">SUI-A4</t>
  </si>
  <si>
    <t xml:space="preserve">ignoreMandatoryFields: true en el submitFields (línea 70): permite persistir la actualización aunque el registro tenga obligatorios incompletos. Sin evidencia en código de por qué es necesario; confirmar intencionalidad (mismo patrón ya cuestionado en el baseline de Asignar Rubro IVA, priorizacion-scripts.md:246).</t>
  </si>
  <si>
    <t xml:space="preserve">:68-71</t>
  </si>
  <si>
    <t xml:space="preserve">SUI-B1</t>
  </si>
  <si>
    <t xml:space="preserve">2 Saved Searches de configuración casi estática ejecutadas en cada create/edit: customsearch_l598_config_fe_seteo_ui (siempre, línea 98) y customsearch_l598_config_ui_seteo_ui (rama TAFACE, línea 131), ambas vía searchSavedPro (search.load + paginación completa) para leer una sola columna de una sola fila (columns[2], líneas 108-110 y 141-143). Candidatas prioritarias del criterio v2(b)/(c): SuiteQL con SELECT específico o cacheo (N/cache). Reemplazo de mecanismo → requiere validación de equivalencia.</t>
  </si>
  <si>
    <t xml:space="preserve">:98,131 + L598 - Utilities.js:176-248</t>
  </si>
  <si>
    <t xml:space="preserve">SUI-B2</t>
  </si>
  <si>
    <t xml:space="preserve">utilities.l598esOneworld() (línea 29) ejecuta un search.create + runPaged sobre customrecord_l598_datos_impositivos_emp en cada guardado para un dato de cuenta invariante (si es OneWorld no cambia entre transacciones). Cachear/memorizar. Módulo compartido → va por utilities_REF coordinado (metodología §5).</t>
  </si>
  <si>
    <t xml:space="preserve">L598 - Utilities.js:50-90</t>
  </si>
  <si>
    <t xml:space="preserve">SUI-B3</t>
  </si>
  <si>
    <t xml:space="preserve">searchSavedPro pagina con do-while hasta página vacía: para resultados de 1 fila (el caso de este script) paga una llamada getRange extra siempre. Se documenta como nota de dependencia compartida.</t>
  </si>
  <si>
    <t xml:space="preserve">L598 - Utilities.js:221-234</t>
  </si>
  <si>
    <t xml:space="preserve">SUI-C1</t>
  </si>
  <si>
    <t xml:space="preserve">var en todo el archivo pese a @NApiVersion 2.1 (línea 2) → const/let. Incluye var subsidiaria y var rate declaradas en ambas ramas de sus if/else (33/35 y 44/52) apoyándose en hoisting — requiere declaración única al migrar.</t>
  </si>
  <si>
    <t xml:space="preserve">:11,16,23,26-28,33-35,38,44,52,85,88,91,98,102-103,108,112,127,131,135,141</t>
  </si>
  <si>
    <t xml:space="preserve">SUI-C2</t>
  </si>
  <si>
    <t xml:space="preserve">parseFloat(rate, 10) (línea 60): parseFloat no acepta radix (es la firma de parseInt); el 10 se ignora. Quitarlo no cambia comportamiento.</t>
  </si>
  <si>
    <t xml:space="preserve">:60</t>
  </si>
  <si>
    <t xml:space="preserve">SUI-C3</t>
  </si>
  <si>
    <t xml:space="preserve">'N/error' importado y nunca usado → eliminar del define (espejo de STC-C1 del informe modelo).</t>
  </si>
  <si>
    <t xml:space="preserve">:7-9</t>
  </si>
  <si>
    <t xml:space="preserve">SUI-C4</t>
  </si>
  <si>
    <t xml:space="preserve">Igualdad loose ==: en línea 21 (scriptContext.type) es seguro migrar a === (strings literales). En línea 112 (tipoIntegracionFE == parametroTipoIntegracionFE) NO migrar a ciegas: el valor de columna SS es string y el parámetro podría no serlo; normalizar con String() como hizo el refactor de Seteo de Tax Codes (aprendizaje de su §3).</t>
  </si>
  <si>
    <t xml:space="preserve">:21,112</t>
  </si>
  <si>
    <t xml:space="preserve">SUI-D1</t>
  </si>
  <si>
    <t xml:space="preserve">Logs con números de línea hardcodeados desincronizados: "LINE 44" está en la línea 46 y "LINE 55" en la 57. Diagnóstico engañoso.</t>
  </si>
  <si>
    <t xml:space="preserve">:46,57</t>
  </si>
  <si>
    <t xml:space="preserve">SUI-D2</t>
  </si>
  <si>
    <t xml:space="preserve">Logging verboso de dump: log.audit INICIO/FIN (15, 79), governance remaining (17, 78), debugs de contexto (30, 46, 57, 105, 138). Criterio del modelo: se eliminan los log.debug de dump, se conservan los log.error.</t>
  </si>
  <si>
    <t xml:space="preserve">SUI-D3</t>
  </si>
  <si>
    <t xml:space="preserve">Chequeo redundante/dead branch: la no-vacuidad del resultado se valida dos veces (línea 100 y de nuevo 107 sobre el mismo array; ídem 133 y 140) — la segunda condición nunca es false.</t>
  </si>
  <si>
    <t xml:space="preserve">:100,107,133,140</t>
  </si>
  <si>
    <t xml:space="preserve">SUI-D4</t>
  </si>
  <si>
    <t xml:space="preserve">!utilities.isEmpty(resultConfigFETaface) &amp;&amp; resultConfigFETaface (línea 41) sobre un valor que es siempre boolean (getConfigFE retorna true/false, líneas 85, 113, 119, 122) → if (resultConfigFETaface).</t>
  </si>
  <si>
    <t xml:space="preserve">:41</t>
  </si>
  <si>
    <t xml:space="preserve">SUI-D5</t>
  </si>
  <si>
    <t xml:space="preserve">getConfigFE y getConfigUnidadIndexada duplican el mismo patrón de desempaquetado de searchSavedPro (98-116 vs 131-145) → helper único parametrizado (id de SS, filtros, índice de columna).</t>
  </si>
  <si>
    <t xml:space="preserve">:98-116,131-145</t>
  </si>
  <si>
    <t xml:space="preserve">SUI-D6</t>
  </si>
  <si>
    <t xml:space="preserve">Acceso posicional a columnas de la SS (columns[2], líneas 108-110 y 141-143): acople frágil al orden de columnas definido en la cuenta; reordenar la Saved Search rompería el valor leído sin error visible. Nombrar la columna requiere confirmar la definición de la SS (duda abierta #3).</t>
  </si>
  <si>
    <t xml:space="preserve">:108-110,141-143</t>
  </si>
  <si>
    <t xml:space="preserve">Config FE + config UI: SuiteQL SELECT específico o N/cache (hoy 2 SS completas por guardado) — requiere aprobación previa por reemplazo de mecanismo</t>
  </si>
  <si>
    <t xml:space="preserve">Cachear/memorizar l598esOneworld (vía utilities_REF, coordinado con el resto de consumidores)</t>
  </si>
  <si>
    <t xml:space="preserve">Nota de dependencia: página getRange extra en searchSavedPro (se documenta, no se toca en este script)</t>
  </si>
  <si>
    <t xml:space="preserve">var → const/let (unificando las declaraciones dobles de subsidiaria/rate)</t>
  </si>
  <si>
    <t xml:space="preserve">Quitar el 2º argumento de parseFloat(rate, 10)</t>
  </si>
  <si>
    <t xml:space="preserve">Eliminar 'N/error' del define</t>
  </si>
  <si>
    <t xml:space="preserve">Eliminar logs con "LINE 44"/"LINE 55" desincronizados</t>
  </si>
  <si>
    <t xml:space="preserve">Limpieza de log.debug/log.audit de dump (conservar log.error)</t>
  </si>
  <si>
    <t xml:space="preserve">Simplificar chequeos redundantes de resultado (100/107, 133/140)</t>
  </si>
  <si>
    <t xml:space="preserve">Simplificar el boolean re-chequeado de línea 41</t>
  </si>
  <si>
    <t xml:space="preserve">Helper único de desempaquetado de searchSavedPro para ambas funciones de config</t>
  </si>
  <si>
    <t xml:space="preserve">Referenciar la columna de la SS por nombre en lugar de columns[2] (bloqueado por duda abierta #3)</t>
  </si>
  <si>
    <t xml:space="preserve">Registro de aprobaciones — cambios de Alto riesgo</t>
  </si>
  <si>
    <t xml:space="preserve">Fuente: docs/registro-aprobaciones.md · ningun cambio de Alto riesgo se aplica sin fila en ✅ Aprobado</t>
  </si>
  <si>
    <t xml:space="preserve">Registro completo</t>
  </si>
  <si>
    <t xml:space="preserve">Script</t>
  </si>
  <si>
    <t xml:space="preserve">Cambio propuesto</t>
  </si>
  <si>
    <t xml:space="preserve">Solicitado (por / fecha)</t>
  </si>
  <si>
    <t xml:space="preserve">Aprobado (por / fecha)</t>
  </si>
  <si>
    <t xml:space="preserve">Notas</t>
  </si>
  <si>
    <t xml:space="preserve">GTX-A1</t>
  </si>
  <si>
    <t xml:space="preserve">Generación TXT Localizaciones (Sched)</t>
  </si>
  <si>
    <t xml:space="preserve">Paginar searchRubroPublicidad (hoy trunca a 1000 resultados)</t>
  </si>
  <si>
    <t xml:space="preserve">⏳ Pendiente</t>
  </si>
  <si>
    <t xml:space="preserve">Mobeats · 2026-07-07</t>
  </si>
  <si>
    <t xml:space="preserve">—</t>
  </si>
  <si>
    <t xml:space="preserve">Bug fiscal: declaración DGI incompleta si el período supera 1000 transacciones de publicidad</t>
  </si>
  <si>
    <t xml:space="preserve">GTX-A2</t>
  </si>
  <si>
    <t xml:space="preserve">Garantizar resultado/idLogGeneral definidos si archivoGenerar != "2181"</t>
  </si>
  <si>
    <t xml:space="preserve">Hoy falla en enviarMail (undefined)</t>
  </si>
  <si>
    <t xml:space="preserve">GTX-A3</t>
  </si>
  <si>
    <t xml:space="preserve">Manejar configuración con 0 o 2+ resultados (hoy sólo resuelve con exactamente 1)</t>
  </si>
  <si>
    <t xml:space="preserve">TXT no se genera sin diagnóstico claro</t>
  </si>
  <si>
    <t xml:space="preserve">Seteo de Tax Codes</t>
  </si>
  <si>
    <t xml:space="preserve">Mover de afterSubmit a beforeSubmit (elimina record.load()+save() ≈30 GU/transacción) — #8</t>
  </si>
  <si>
    <t xml:space="preserve">Mobeats · 2026-07-09</t>
  </si>
  <si>
    <t xml:space="preserve">Tekiio · 2026-08-20</t>
  </si>
  <si>
    <t xml:space="preserve">El mayor ahorro de performance del proyecto. Aplicado en su variante híbrida (guarda de completitud + fallback a afterSubmit), por el requisito de Tekiio de asumir cualquier contexto de creación. Ver propuesta y refactor §3.bis. Pendiente: caracterización</t>
  </si>
  <si>
    <t xml:space="preserve">Manejo de error del save: hoy si falla, la transacción queda sin tax codes sin alerta</t>
  </si>
  <si>
    <t xml:space="preserve">Tekiio · 2026-09-07</t>
  </si>
  <si>
    <t xml:space="preserve">Aprobado Alt 2 + Alt 1, reutilizando la estructura de LOG del proceso de FE (customrecord_l598_fact_elec_log / _dlog) en lugar de un campo custom de cabecera. Descartadas: Alt 0 (riesgo fiscal), Alt 3 (el throw en afterSubmit no revierte el guardado), Alt 4 (bloqueo operativo). Ver propuesta STC-A2/A3 y refactor §3.ter. Verificado en la cuenta 2026-09-07 — vendorbill 15826, detalle FE-DLG-3063 con la referencia a la transacción cargada (evidencia). Pendiente de dato: los 2 códigos en URU-FE Estados Log / URU-FE Mensajes Log</t>
  </si>
  <si>
    <t xml:space="preserve">filter de taxdetails devuelve &gt;1 y toma sólo [0], descarta el resto sin aviso</t>
  </si>
  <si>
    <t xml:space="preserve">Validar con fiscal si en UY hay impuestos compuestos por línea. Ver propuesta STC-A2/A3 — incluye instrumentación de detección (riesgo nulo) para responder con datos</t>
  </si>
  <si>
    <t xml:space="preserve">Transacción (Servidor)</t>
  </si>
  <si>
    <t xml:space="preserve">Patrón afterSubmit + load() + save() para campos calculados — mismo patrón de STC-A1, con 2 salvedades propias (nro_comprobante necesita el id; toggle apply de NC)</t>
  </si>
  <si>
    <t xml:space="preserve">Mobeats · 2026-08-20</t>
  </si>
  <si>
    <t xml:space="preserve">Tekiio · 2026-09-08</t>
  </si>
  <si>
    <t xml:space="preserve">Aprobado. Pedimos aprobar la fase de validación (diagnóstico de solo lectura) y Tekiio aprobó el cambio — más de lo solicitado. Se interpreta como aprobación del camino completo: diagnóstico → medición APM → híbrido, mismo orden que STC-A1. Sin ambigüedad operativa: en ambas lecturas el próximo paso es el diagnóstico. ⚠️ Decidir junto con TRS-D1: en invoice este script es hoy el dueño efectivo de custcol_l598_codigo_impuesto porque escribe último (verificado en la invoice 15822). Si A1 mueve su escritura a beforeSubmit, el orden se invierte y el dueño pasa a ser STC — equivalente mientras los dos calculen lo mismo, no equivalente el día que divergan. 🔴 En espera por TRS-D1 (2026-09-08): la aprobación sigue en pie, pero primero se define el dueño único de las columnas. Mover la escritura a beforeSubmit antes de eso invierte el orden respecto de Seteo de Tax Codes y cambia el dueño efectivo por accidente. Ver propuesta TRS-D1</t>
  </si>
  <si>
    <t xml:space="preserve">TRS-A2</t>
  </si>
  <si>
    <t xml:space="preserve">Early return para salesorder/transferorder: hoy se ejecuta load+save sin escribir nada</t>
  </si>
  <si>
    <t xml:space="preserve">Aprobado sin ambigüedad y aplicado 2026-09-08 sobre el _REF. Verificado antes de aplicar que el afterSubmit es no-op real para esos tipos (desaplicarYAplicarNC tiene su cuerpo dentro de un guard por creditmemo) y que el llenado de sucursal vive en beforeSubmit, fuera del guard. ❌ Se descartó la cláusula "el save re-dispara UserEvents": no ocurre. Ver refactor §3.sexies. Pendiente: caracterización en la cuenta</t>
  </si>
  <si>
    <t xml:space="preserve">objRecord.delete() no existe en N/record → las retenciones asociadas a NC de compra / Resguardos probablemente nunca se borran y quedan huérfanas</t>
  </si>
  <si>
    <t xml:space="preserve">Corregir empezaría a borrar registros que hoy sobreviven. Confirmar en logs y dimensionar el pasivo histórico antes. Propuesta</t>
  </si>
  <si>
    <t xml:space="preserve">Bloque beforeLoad condicionado a executionContext == "userevent" (minúscula) → código muerto. Comentario interno sugiere desactivación intencional</t>
  </si>
  <si>
    <t xml:space="preserve">🔴 Alto (verificar)</t>
  </si>
  <si>
    <t xml:space="preserve">Si fue intencional → limpieza (Grupo D). Si debía correr → cambio de comportamiento. Propuesta</t>
  </si>
  <si>
    <t xml:space="preserve">getNumberLiteral() llama alert() (API de navegador) → el catch graba "NO DISPONIBLE" en el monto escrito del documento fiscal</t>
  </si>
  <si>
    <t xml:space="preserve">Se resuelve junto con TRS-A6. Requiere criterio de negocio para el importe no numérico. Propuesta</t>
  </si>
  <si>
    <t xml:space="preserve">Parte decimal del monto en letras sin normalizar a 2 dígitos: 10.50 → "CON 5/100" en vez de "50/100"</t>
  </si>
  <si>
    <t xml:space="preserve">Texto fiscal impreso. toFixedOK ya existe en el script y no se usa en ese camino. Propuesta</t>
  </si>
  <si>
    <t xml:space="preserve">TRS-A7</t>
  </si>
  <si>
    <t xml:space="preserve">Las 3 saved searches del afterSubmit usan getRange(0,1000) sin paginar → truncamiento silencioso</t>
  </si>
  <si>
    <t xml:space="preserve">Paginación aprobada y aplicada 2026-09-08. ⚠️ Se paginó con un loop local, no con utilities.searchSaved/Pro: esos helpers descartan una pasada n×m de getValue, loguean con JSON.stringify en el camino caliente y convierten un fallo ruidoso en silencioso. Se aparta de lo que la propuesta dijo a Tekiio — lo aprobado fue paginar y se paginó; cambió el mecanismo. Sigue sin responder si se superan las 1.000 filas: define prioridad, no permiso. Ver refactor §3.septies. Pendiente: caracterización</t>
  </si>
  <si>
    <t xml:space="preserve">La condición || !isEmpty(location) dispara el cálculo de sucursal en casi el 100% de los guardados (sin sobreescribir datos: la única escritura está guardada por campo vacío)</t>
  </si>
  <si>
    <t xml:space="preserve">🔴 Alto (validar)</t>
  </si>
  <si>
    <t xml:space="preserve">Corregido 2026-08-27: la parte técnica es equivalente en datos (pasa a Grupo B); pregunta de negocio invertida: ¿una sucursal cargada debe recalcularse al cambiar la ubicación? Hoy nunca. Propuesta</t>
  </si>
  <si>
    <t xml:space="preserve">Migrar a SuiteQL con SELECT específico las 3 SS del afterSubmit (customsearch_l598_articulos, customsearch_l598_timebill, customsearch_l598_cod_impuestos), hoy con acceso posicional columns[0..4]</t>
  </si>
  <si>
    <t xml:space="preserve">Reemplazo de mecanismo → aprobación por definición del proyecto. Independiente de TRS-A7 (ya aplicado): A7 resolvió el truncamiento, B6 resuelve el acople frágil al orden de columnas definido en la cuenta. Falta el dato de las definiciones de las 3 SS para dimensionarlo. Hallazgo</t>
  </si>
  <si>
    <t xml:space="preserve">Dueño único de las columnas de tax codes por línea. Hoy custcol_l598_codigo_impuesto / _tasa_impuesto las escriben 3 UserEvents y el dueño efectivo depende de un orden de ejecución que NetSuite no garantiza</t>
  </si>
  <si>
    <t xml:space="preserve">Mobeats · 2026-09-08</t>
  </si>
  <si>
    <t xml:space="preserve">🔴 Bloquea TRS-A1, que ya está aprobado: mover la escritura a beforeSubmit invierte el orden y cambia el dueño sin que nadie lo decida. Recomendación: opción B — Seteo de Tax Codes queda único escritor y Transacción (Servidor) resuelve el tax code en memoria para su propio uso (no lee tasa_impuesto, y ya hoy lee su propio cálculo). Verificado que ningún tipo pierde las columnas con B. Ver propuesta TRS-D1</t>
  </si>
  <si>
    <t xml:space="preserve">Calcular Retenciones (SS)V2</t>
  </si>
  <si>
    <t xml:space="preserve">executionContext == "userinterface" comparado contra el enum 'USERINTERFACE' → la validación ERR002 de edición de Resguardos está muerta</t>
  </si>
  <si>
    <t xml:space="preserve">Corregir la comparación activa una validación que hoy no corre: aparece un error ERR002 visible al usuario donde antes no había ninguno. Recomendación</t>
  </si>
  <si>
    <t xml:space="preserve">objRecord.delete(...) no existe en N/record → los URU-Retención Detalle nunca se borran y quedan huérfanos</t>
  </si>
  <si>
    <t xml:space="preserve">Mismo patrón que TRS-A3: corregirlo empezaría a borrar registros que hoy sobreviven. Dimensionar el pasivo histórico y el impacto en reportes antes. Recomendación</t>
  </si>
  <si>
    <t xml:space="preserve">Filtro plano en calcularGenerarResguardoAutomaticamente / aplicarRetencionFacturaAutomaticamente → en OneWorld la búsqueda falla y el Resguardo/pago automático no se genera</t>
  </si>
  <si>
    <t xml:space="preserve">Cambia el resultado del flujo automático (crear o no crear Resguardo/pago). Requiere definición funcional por subsidiaria. Va junto con CRT-A4. Recomendación</t>
  </si>
  <si>
    <t xml:space="preserve">Default abierto en las funciones de configuración: el string "F" es truthy → sin registro conf_proc_ret devuelven true</t>
  </si>
  <si>
    <t xml:space="preserve">Idem CRT-A3: cambia si el flujo automático corre o no. Requiere definición funcional del comportamiento esperado sin configuración. Recomendación</t>
  </si>
  <si>
    <t xml:space="preserve">En el JSON del Resguardo automático viaja el objeto completo de lookupFields en vez del escalar (.address1, .city, .country, .zipcode, origenRetencion)</t>
  </si>
  <si>
    <t xml:space="preserve">Corregir la extracción cambia el contenido de campos fiscales emitidos. Validar con casos reales. Recomendación</t>
  </si>
  <si>
    <t xml:space="preserve">getNumberLiteral llama alert() server-side y el catch loguea el módulo error en vez de err → todo fallo del monto escrito sale como "Detalles: undefined"</t>
  </si>
  <si>
    <t xml:space="preserve">Mismo defecto que TRS-A5. Altera el texto fiscal generado: resolver junto con CRT-A8 y con criterio de negocio para el importe no numérico. Recomendación</t>
  </si>
  <si>
    <t xml:space="preserve">Tres getRange({start:0, end:1000}) sin paginar (detalle de retenciones, borrado de Resguardo, ERR002) → truncamiento silencioso</t>
  </si>
  <si>
    <t xml:space="preserve">Mismo patrón que TRS-A7 (ya aprobado). Paginar cambia resultados en volúmenes altos. Va junto con CRT-A9. Recomendación</t>
  </si>
  <si>
    <t xml:space="preserve">En getNumberLiteral, la condición if (mdata != "\t") (presumible != "") concatena un " MIL " espurio en montos ≥ 1M con miles en cero</t>
  </si>
  <si>
    <t xml:space="preserve">Texto fiscal impreso. Se resuelve junto con CRT-A6; validar con casos reales antes de tocar. Recomendación</t>
  </si>
  <si>
    <t xml:space="preserve">El guard (value) ? value : "" está después del value.indexOf(...) en el JSON de detalle del Resguardo → una columna nula deja custbody_l598_resguardo_ret_det_json sin setear</t>
  </si>
  <si>
    <t xml:space="preserve">Cambia el resultado observable del guardado. Va junto con CRT-A7. Recomendación</t>
  </si>
  <si>
    <t xml:space="preserve">Cuatro https.post síncronos encadenados a Suitelets sin chequear response.code ni body.error → hasta 5 ejecuciones por guardado</t>
  </si>
  <si>
    <t xml:space="preserve">Consolidar los Suitelets o validar las respuestas es un cambio arquitectónico/contractual: decisión del cliente, no del refactor. Recomendación</t>
  </si>
  <si>
    <t xml:space="preserve">removeLine(sublista, 1) con índice fijo base-1 en la limpieza de RefCFE al borrar el Resguardo → la excepción impide que corra el save()</t>
  </si>
  <si>
    <t xml:space="preserve">Corregir el índice cambia el estado resultante del borrado (hoy el save() nunca se ejecuta). Recomendación</t>
  </si>
  <si>
    <t xml:space="preserve">El seteo de custbody_l598_fecha_venc_retenc está limitado a vendorbill pese a que el mensaje del catch menciona vendorcredit</t>
  </si>
  <si>
    <t xml:space="preserve">Confirmar si la exclusión de vendorcredit es decisión u omisión antes de ampliar la cobertura. Recomendación</t>
  </si>
  <si>
    <t xml:space="preserve">Mover el bloque "SETEO DE CAMPO URU-DETALLE RETENCION JSON" de afterSubmit (load+save) a beforeSubmit sobre newRecord — #8</t>
  </si>
  <si>
    <t xml:space="preserve">Criterio #8: solo sugerencia. ⚠️ Decidir junto con STC-A1, TRS-A1 y ARI-A1 como una sola decisión arquitectónica. Falta verificar en la cuenta la disponibilidad de los ids de detalle en CREATE. Recomendación</t>
  </si>
  <si>
    <t xml:space="preserve">Migrar customsearch_l598_transaction_det_ret (≥28 columnas por acceso posicional columns[n]) a SuiteQL con SELECT específico o columnas nombradas</t>
  </si>
  <si>
    <t xml:space="preserve">Reemplazo de mecanismo → aprobación por definición del proyecto. Hoy reordenar la SS en la cuenta rompe el script sin error de compilación. Hallazgo</t>
  </si>
  <si>
    <t xml:space="preserve">Consolidar los 4 bloques casi idénticos IRPF/IRNR/IRAE/IVA (~100 líneas c/u) que postean asientos + detalle en un helper parametrizado</t>
  </si>
  <si>
    <t xml:space="preserve">Es la función fiscal más crítica del script: reestructurar el posteo de montos exige aprobación y caracterización exhaustiva previa. Hallazgo</t>
  </si>
  <si>
    <t xml:space="preserve">Asignar Rubro IVA</t>
  </si>
  <si>
    <t xml:space="preserve">Migrar el seteo de rubros de afterSubmit + record.load()+save() a beforeSubmit sobre newRecord — #8</t>
  </si>
  <si>
    <t xml:space="preserve">Criterio #8: solo sugerencia. ⚠️ Acoplado a STC-A1: este script lee custcol_l598_codigo_impuesto, que Seteo de Tax Codes escribe en su afterSubmit; la viabilidad depende de que esté poblado. Decidir junto con STC-A1, TRS-A1 y CRT-A13. Recomendación</t>
  </si>
  <si>
    <t xml:space="preserve">Falta guard de longitud en el loop de publicidad de ítems (resultado[0].aplicaPublicidad sin validar) → un ítem sin match aborta el save() y pierde todos los seteos</t>
  </si>
  <si>
    <t xml:space="preserve">Bugfix que cambia el comportamiento del caso de fallo: hoy aborta y pierde todo, con el fix continúa. Recomendación</t>
  </si>
  <si>
    <t xml:space="preserve">Los guards de no-sobrescritura de custcol_l598_rubro_iva están comentados y la limpieza con '' pisa incluso valores cargados manualmente</t>
  </si>
  <si>
    <t xml:space="preserve">Decisión de negocio: ¿un rubro cargado a mano debe respetarse o recalcularse siempre? Hoy siempre se pisa. Recomendación</t>
  </si>
  <si>
    <t xml:space="preserve">En ventas el guard valida idRubroIVA pero getRubro devuelve rubroIVAEquivalente → un mapeo sin equivalente escribiría vacío en la línea</t>
  </si>
  <si>
    <t xml:space="preserve">El impacto depende de los datos: validar con negocio si existen mapeos con rubro pero sin equivalente. Recomendación</t>
  </si>
  <si>
    <t xml:space="preserve">save({ enableSourcing: false, ignoreMandatoryFields: true }) puede persistir registros con obligatorios incompletos sin aviso</t>
  </si>
  <si>
    <t xml:space="preserve">Sin evidencia en el código de por qué es necesario: confirmar intencionalidad con Tekiio. Mismo patrón que SUI-A4. Recomendación</t>
  </si>
  <si>
    <t xml:space="preserve">custscript_l598_rubro_publicidad se usa como value sin isEmpty → con el parámetro vacío borraría el rubro de las líneas con publicidad</t>
  </si>
  <si>
    <t xml:space="preserve">Cambia comportamiento observable. Confirmar el valor esperado del parámetro y agregar la validación. Recomendación</t>
  </si>
  <si>
    <t xml:space="preserve">Migrar a SuiteQL/Workbooks las 2 SS de mapeo, la búsqueda de cuentas con publicidad y la de ítems agrupados, con SELECT específico de 4 columnas</t>
  </si>
  <si>
    <t xml:space="preserve">Reemplazo de mecanismo → Alto riesgo por definición del proyecto. Requiere validar mapeo idéntico de columnas y nulls. Hallazgo</t>
  </si>
  <si>
    <t xml:space="preserve">Conexion Directa FE (SS)</t>
  </si>
  <si>
    <t xml:space="preserve">formaPagoNetSuite sin declarar en getMetodosPago → ReferenceError en la rama de forma de pago simple y detalleMetodosPago viaja siempre vacío en el CFE</t>
  </si>
  <si>
    <t xml:space="preserve">Mismo síntoma de migración 1.0→2.0 incompleta que Obtener Inf Transacciones FE: tratar ambos juntos. Requiere validación fiscal de qué debe viajar en detalleMetodosPago / detalleFormaPago. Recomendación</t>
  </si>
  <si>
    <t xml:space="preserve">envioEmail roto (isEmpty / userActual / proceso inexistentes y llamada de 10 args contra firma de 9) → el mail de CAE nunca se envía</t>
  </si>
  <si>
    <t xml:space="preserve">Corregirlo enciende mails que hoy no salen: decisión de negocio, no solo técnica. Recomendación</t>
  </si>
  <si>
    <t xml:space="preserve">En la anulación de resguardo se hace lookup de custentity_l598_tipo_documento y se lee custbody_l598_tipo_comprobante[0].value → TypeError que marca el documento con error</t>
  </si>
  <si>
    <t xml:space="preserve">Validar en sandbox con una anulación real que la rama efectivamente se ejercita antes de decidir el fix. Recomendación</t>
  </si>
  <si>
    <t xml:space="preserve">El detalle de retenciones de resguardos usa getRange({start:0, end:1000}) sin bucle: se perdió la paginación que antes daba searchSavedPro</t>
  </si>
  <si>
    <t xml:space="preserve">Mismo patrón de truncamiento que TRS-A7 y CRT-A7. Restaurar la paginación cambia resultados posibles. Recomendación</t>
  </si>
  <si>
    <t xml:space="preserve">Los bloques Costo de Envío / Costo de Manipulación están muertos por hardcode (costoEnvio = "", CostoManipulacion = "") antes de su propia condición</t>
  </si>
  <si>
    <t xml:space="preserve">Bifurcación: si el hardcode es decisión de negocio → eliminar ~360 líneas muertas (Grupo D); si es defecto → corrección fiscal con aprobación. Confirmar antes de corregir o eliminar. Recomendación</t>
  </si>
  <si>
    <t xml:space="preserve">Dos llamadas getLineCount(string) en vez de la forma {sublistId} (loop principal de líneas y referencias de resguardo)</t>
  </si>
  <si>
    <t xml:space="preserve">🟡 Medio (validar)</t>
  </si>
  <si>
    <t xml:space="preserve">Normalizarla toca el loop del cálculo fiscal: solo con caracterización byte a byte que cubra líneas y referencias de resguardo. Recomendación</t>
  </si>
  <si>
    <t xml:space="preserve">Los save() internos de afterSubmit y grabarDatosCAE no chequean executionContext ni marca de re-disparo → sin guard de reentrancia</t>
  </si>
  <si>
    <t xml:space="preserve">Es una inferencia que depende del context filtering del deployment, no visible en el repo: pedir a Tekiio logs y configuración del deployment. Impacta la lectura de los 21.6s del Remito. Recomendación</t>
  </si>
  <si>
    <t xml:space="preserve">Degradación de diagnóstico: en el loop de resguardos se loguea mensaje (hoisted, normalmente undefined) en vez de mensajeError, y la validación de subtotal chequea 2 veces descripcionLinea y nunca transImporte</t>
  </si>
  <si>
    <t xml:space="preserve">El flujo de error es el mismo: solo se pierde detalle en el mensaje. Es el 🟡 del Grupo A de este script — bajo impacto, pero entra al registro por ser Grupo A. Hallazgo</t>
  </si>
  <si>
    <t xml:space="preserve">Migrar customsearch_l598_trans_gen_cae_con_dire (≥89 columnas por índice posicional) a SuiteQL/Workbook con SELECT específico</t>
  </si>
  <si>
    <t xml:space="preserve">Reemplazo estructural → iniciativa propia con regresión completa. No se aplica en este refactor. Hallazgo</t>
  </si>
  <si>
    <t xml:space="preserve">Consolidar el doble record.load + doble save de la misma transacción en el modo automático, o usar submitFields para los campos de cabecera del CAE</t>
  </si>
  <si>
    <t xml:space="preserve">Cambia el mecanismo de persistencia de un flujo fiscal: solo con aprobación y regresión. Mismo patrón ya señalado en Actualizar Inf Transacciones FE. Hallazgo</t>
  </si>
  <si>
    <t xml:space="preserve">Dividir buscarInformacionFE (~2.246 líneas, &gt;12 niveles de anidamiento, ~60 variables mutables compartidas)</t>
  </si>
  <si>
    <t xml:space="preserve">Función fiscal central: su división es una iniciativa dedicada con cobertura de caracterización previa. 💡 Candidato — no entra en esta ola, pero se registra para que la aprobación no se pierda. Hallazgo</t>
  </si>
  <si>
    <t xml:space="preserve">Setear Unidad Indexada</t>
  </si>
  <si>
    <t xml:space="preserve">Migrar el seteo de custbody_l598_valor_unidad_indexada de afterSubmit + record.submitFields a beforeSubmit + setValue — #8</t>
  </si>
  <si>
    <t xml:space="preserve">Criterio #8: solo sugerencia. Elimina la segunda escritura y el re-disparo de UEs en xedit. ⚠️ Es complementario a la solución de UAT-12, no sustituto: por sí solo NO resuelve SUI-A2. Recomendación</t>
  </si>
  <si>
    <t xml:space="preserve">Deadlock de la validación de 5000 UI: el Client Script exige el campo antes del primer guardado y el único escritor corre después; con el campo vacío subtotal/0 = Infinity bloquea todo e-Ticket</t>
  </si>
  <si>
    <t xml:space="preserve">🔴 Explica UAT-12. Las tres salidas (corregir la LIB, poblar el campo client-side, o definir la semántica fiscal sin valor UI) son todas de alto riesgo y cambian comportamiento: la decisión es de negocio, no técnica. Análisis del deadlock</t>
  </si>
  <si>
    <t xml:space="preserve">Hacer visibles los caminos silenciosos que dejan el campo vacío (SS de config UI vacía, exchangeRate que lanza, rate ≤ 0) y definir si el fallback TAFACE→exchangeRate es intencional</t>
  </si>
  <si>
    <t xml:space="preserve">Estas transacciones son las que siembran los bloqueos de la validación de 5000 UI. Definir si un fallo al obtener el valor debe ser visible y si el fallback de fuente ante error de SS es intencional. Recomendación</t>
  </si>
  <si>
    <t xml:space="preserve">ignoreMandatoryFields: true en el submitFields permite persistir la actualización con obligatorios incompletos</t>
  </si>
  <si>
    <t xml:space="preserve">Sin evidencia en el código de por qué es necesario: confirmar intencionalidad. Mismo patrón que ARI-A5. Recomendación</t>
  </si>
  <si>
    <t xml:space="preserve">Reemplazar por SuiteQL con SELECT específico o N/cache las 2 SS de configuración casi estática ejecutadas en cada create/edit (config_fe_seteo_ui y config_ui_seteo_ui)</t>
  </si>
  <si>
    <t xml:space="preserve">Reemplazo de mecanismo → requiere validación de equivalencia y aprobación previa (así consta en el Plan de Cambios §3 del informe). Hallazgo</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</si>
</sst>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F3864"/>
      <name val="Cambria"/>
      <family val="0"/>
      <charset val="1"/>
    </font>
    <font>
      <i val="true"/>
      <sz val="9"/>
      <color rgb="FF808080"/>
      <name val="Cambria"/>
      <family val="0"/>
      <charset val="1"/>
    </font>
    <font>
      <b val="true"/>
      <sz val="11"/>
      <color rgb="FF1F3864"/>
      <name val="Cambria"/>
      <family val="0"/>
      <charset val="1"/>
    </font>
    <font>
      <b val="true"/>
      <sz val="11"/>
      <color rgb="FFFFFFFF"/>
      <name val="Cambria"/>
      <family val="0"/>
      <charset val="1"/>
    </font>
  </fonts>
  <fills count="4">
    <fill>
      <patternFill patternType="none"/>
    </fill>
    <fill>
      <patternFill patternType="gray125"/>
    </fill>
    <fill>
      <patternFill patternType="solid">
        <fgColor rgb="FFD9E2F3"/>
        <bgColor rgb="FFCC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3"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2.51"/>
    <col collapsed="false" customWidth="true" hidden="false" outlineLevel="0" max="3" min="3" style="0" width="82.5"/>
    <col collapsed="false" customWidth="true" hidden="false" outlineLevel="0" max="4" min="4" style="0" width="15.16"/>
    <col collapsed="false" customWidth="true" hidden="false" outlineLevel="0" max="5" min="5" style="0" width="37"/>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c r="E4" s="4"/>
    </row>
    <row r="5" customFormat="false" ht="15" hidden="false" customHeight="false" outlineLevel="0" collapsed="false">
      <c r="A5" s="5" t="s">
        <v>3</v>
      </c>
      <c r="B5" s="5" t="s">
        <v>4</v>
      </c>
      <c r="C5" s="5" t="s">
        <v>5</v>
      </c>
      <c r="D5" s="5" t="s">
        <v>6</v>
      </c>
      <c r="E5" s="5" t="s">
        <v>7</v>
      </c>
    </row>
    <row r="6" customFormat="false" ht="35.05" hidden="false" customHeight="false" outlineLevel="0" collapsed="false">
      <c r="A6" s="6" t="s">
        <v>8</v>
      </c>
      <c r="B6" s="6" t="s">
        <v>9</v>
      </c>
      <c r="C6" s="6" t="s">
        <v>10</v>
      </c>
      <c r="D6" s="6" t="s">
        <v>11</v>
      </c>
      <c r="E6" s="6" t="s">
        <v>12</v>
      </c>
    </row>
    <row r="7" customFormat="false" ht="23.85" hidden="false" customHeight="false" outlineLevel="0" collapsed="false">
      <c r="A7" s="6" t="s">
        <v>13</v>
      </c>
      <c r="B7" s="6" t="s">
        <v>14</v>
      </c>
      <c r="C7" s="6" t="s">
        <v>15</v>
      </c>
      <c r="D7" s="6" t="s">
        <v>11</v>
      </c>
      <c r="E7" s="6" t="s">
        <v>16</v>
      </c>
    </row>
    <row r="8" customFormat="false" ht="23.85" hidden="false" customHeight="false" outlineLevel="0" collapsed="false">
      <c r="A8" s="6" t="s">
        <v>17</v>
      </c>
      <c r="B8" s="6" t="s">
        <v>18</v>
      </c>
      <c r="C8" s="6" t="s">
        <v>19</v>
      </c>
      <c r="D8" s="6" t="s">
        <v>11</v>
      </c>
      <c r="E8" s="6" t="s">
        <v>20</v>
      </c>
    </row>
    <row r="10" customFormat="false" ht="15" hidden="false" customHeight="false" outlineLevel="0" collapsed="false">
      <c r="A10" s="3" t="s">
        <v>21</v>
      </c>
      <c r="B10" s="4"/>
      <c r="C10" s="4"/>
      <c r="D10" s="4"/>
      <c r="E10" s="4"/>
    </row>
    <row r="11" customFormat="false" ht="15" hidden="false" customHeight="false" outlineLevel="0" collapsed="false">
      <c r="A11" s="5" t="s">
        <v>3</v>
      </c>
      <c r="B11" s="5" t="s">
        <v>4</v>
      </c>
      <c r="C11" s="5" t="s">
        <v>5</v>
      </c>
      <c r="D11" s="5" t="s">
        <v>6</v>
      </c>
      <c r="E11" s="5" t="s">
        <v>7</v>
      </c>
    </row>
    <row r="12" customFormat="false" ht="23.85" hidden="false" customHeight="false" outlineLevel="0" collapsed="false">
      <c r="A12" s="6" t="s">
        <v>22</v>
      </c>
      <c r="B12" s="6" t="s">
        <v>23</v>
      </c>
      <c r="C12" s="6" t="s">
        <v>24</v>
      </c>
      <c r="D12" s="6" t="s">
        <v>25</v>
      </c>
      <c r="E12" s="6" t="s">
        <v>16</v>
      </c>
    </row>
    <row r="13" customFormat="false" ht="23.85" hidden="false" customHeight="false" outlineLevel="0" collapsed="false">
      <c r="A13" s="6" t="s">
        <v>26</v>
      </c>
      <c r="B13" s="6" t="s">
        <v>27</v>
      </c>
      <c r="C13" s="6" t="s">
        <v>28</v>
      </c>
      <c r="D13" s="6" t="s">
        <v>29</v>
      </c>
      <c r="E13" s="6" t="s">
        <v>16</v>
      </c>
    </row>
    <row r="15" customFormat="false" ht="15" hidden="false" customHeight="false" outlineLevel="0" collapsed="false">
      <c r="A15" s="3" t="s">
        <v>30</v>
      </c>
      <c r="B15" s="4"/>
      <c r="C15" s="4"/>
      <c r="D15" s="4"/>
      <c r="E15" s="4"/>
    </row>
    <row r="16" customFormat="false" ht="15" hidden="false" customHeight="false" outlineLevel="0" collapsed="false">
      <c r="A16" s="5" t="s">
        <v>3</v>
      </c>
      <c r="B16" s="5" t="s">
        <v>4</v>
      </c>
      <c r="C16" s="5" t="s">
        <v>5</v>
      </c>
      <c r="D16" s="5" t="s">
        <v>6</v>
      </c>
      <c r="E16" s="5" t="s">
        <v>7</v>
      </c>
    </row>
    <row r="17" customFormat="false" ht="15" hidden="false" customHeight="false" outlineLevel="0" collapsed="false">
      <c r="A17" s="6" t="s">
        <v>31</v>
      </c>
      <c r="B17" s="6" t="s">
        <v>32</v>
      </c>
      <c r="C17" s="6" t="s">
        <v>33</v>
      </c>
      <c r="D17" s="6" t="s">
        <v>29</v>
      </c>
      <c r="E17" s="6" t="s">
        <v>16</v>
      </c>
    </row>
    <row r="19" customFormat="false" ht="15" hidden="false" customHeight="false" outlineLevel="0" collapsed="false">
      <c r="A19" s="3" t="s">
        <v>34</v>
      </c>
      <c r="B19" s="4"/>
      <c r="C19" s="4"/>
      <c r="D19" s="4"/>
      <c r="E19" s="4"/>
    </row>
    <row r="20" customFormat="false" ht="15" hidden="false" customHeight="false" outlineLevel="0" collapsed="false">
      <c r="A20" s="5" t="s">
        <v>3</v>
      </c>
      <c r="B20" s="5" t="s">
        <v>4</v>
      </c>
      <c r="C20" s="5" t="s">
        <v>5</v>
      </c>
      <c r="D20" s="5" t="s">
        <v>6</v>
      </c>
      <c r="E20" s="5" t="s">
        <v>7</v>
      </c>
    </row>
    <row r="21" customFormat="false" ht="23.85" hidden="false" customHeight="false" outlineLevel="0" collapsed="false">
      <c r="A21" s="6" t="s">
        <v>35</v>
      </c>
      <c r="B21" s="6" t="s">
        <v>36</v>
      </c>
      <c r="C21" s="6" t="s">
        <v>37</v>
      </c>
      <c r="D21" s="6" t="s">
        <v>29</v>
      </c>
      <c r="E21" s="6" t="s">
        <v>16</v>
      </c>
    </row>
    <row r="23" customFormat="false" ht="15" hidden="false" customHeight="false" outlineLevel="0" collapsed="false">
      <c r="A23" s="3" t="s">
        <v>38</v>
      </c>
      <c r="B23" s="4"/>
      <c r="C23" s="4"/>
      <c r="D23" s="4"/>
      <c r="E23" s="4"/>
    </row>
    <row r="24" customFormat="false" ht="15" hidden="false" customHeight="false" outlineLevel="0" collapsed="false">
      <c r="A24" s="5" t="s">
        <v>39</v>
      </c>
      <c r="B24" s="5" t="s">
        <v>3</v>
      </c>
      <c r="C24" s="5" t="s">
        <v>40</v>
      </c>
      <c r="D24" s="5" t="s">
        <v>6</v>
      </c>
      <c r="E24" s="5" t="s">
        <v>7</v>
      </c>
    </row>
    <row r="25" customFormat="false" ht="15" hidden="false" customHeight="false" outlineLevel="0" collapsed="false">
      <c r="A25" s="6" t="s">
        <v>41</v>
      </c>
      <c r="B25" s="6" t="s">
        <v>22</v>
      </c>
      <c r="C25" s="6" t="s">
        <v>42</v>
      </c>
      <c r="D25" s="6" t="s">
        <v>43</v>
      </c>
      <c r="E25" s="6" t="s">
        <v>16</v>
      </c>
    </row>
    <row r="26" customFormat="false" ht="15" hidden="false" customHeight="false" outlineLevel="0" collapsed="false">
      <c r="A26" s="6" t="s">
        <v>41</v>
      </c>
      <c r="B26" s="6" t="s">
        <v>26</v>
      </c>
      <c r="C26" s="6" t="s">
        <v>44</v>
      </c>
      <c r="D26" s="6" t="s">
        <v>45</v>
      </c>
      <c r="E26" s="6" t="s">
        <v>16</v>
      </c>
    </row>
    <row r="27" customFormat="false" ht="15" hidden="false" customHeight="false" outlineLevel="0" collapsed="false">
      <c r="A27" s="6" t="s">
        <v>46</v>
      </c>
      <c r="B27" s="6" t="s">
        <v>31</v>
      </c>
      <c r="C27" s="6" t="s">
        <v>47</v>
      </c>
      <c r="D27" s="6" t="s">
        <v>45</v>
      </c>
      <c r="E27" s="6" t="s">
        <v>16</v>
      </c>
    </row>
    <row r="28" customFormat="false" ht="15" hidden="false" customHeight="false" outlineLevel="0" collapsed="false">
      <c r="A28" s="6" t="s">
        <v>48</v>
      </c>
      <c r="B28" s="6" t="s">
        <v>35</v>
      </c>
      <c r="C28" s="6" t="s">
        <v>49</v>
      </c>
      <c r="D28" s="6" t="s">
        <v>45</v>
      </c>
      <c r="E28" s="6" t="s">
        <v>16</v>
      </c>
    </row>
    <row r="29" customFormat="false" ht="23.85" hidden="false" customHeight="false" outlineLevel="0" collapsed="false">
      <c r="A29" s="6" t="s">
        <v>50</v>
      </c>
      <c r="B29" s="6" t="s">
        <v>8</v>
      </c>
      <c r="C29" s="6" t="s">
        <v>51</v>
      </c>
      <c r="D29" s="6" t="s">
        <v>52</v>
      </c>
      <c r="E29" s="6" t="s">
        <v>53</v>
      </c>
    </row>
    <row r="30" customFormat="false" ht="35.05" hidden="false" customHeight="false" outlineLevel="0" collapsed="false">
      <c r="A30" s="6" t="s">
        <v>54</v>
      </c>
      <c r="B30" s="6" t="s">
        <v>13</v>
      </c>
      <c r="C30" s="6" t="s">
        <v>55</v>
      </c>
      <c r="D30" s="6" t="s">
        <v>52</v>
      </c>
      <c r="E30" s="6" t="s">
        <v>56</v>
      </c>
    </row>
    <row r="31" customFormat="false" ht="15" hidden="false" customHeight="false" outlineLevel="0" collapsed="false">
      <c r="A31" s="6" t="s">
        <v>54</v>
      </c>
      <c r="B31" s="6" t="s">
        <v>17</v>
      </c>
      <c r="C31" s="6" t="s">
        <v>57</v>
      </c>
      <c r="D31" s="6" t="s">
        <v>52</v>
      </c>
      <c r="E31" s="6" t="s">
        <v>58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3" topLeftCell="A4" activePane="bottomLeft" state="frozen"/>
      <selection pane="topLeft" activeCell="A1" activeCellId="0" sqref="A1"/>
      <selection pane="bottomLeft" activeCell="A20" activeCellId="0" sqref="A20"/>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4.46"/>
    <col collapsed="false" customWidth="true" hidden="false" outlineLevel="0" max="3" min="3" style="0" width="78"/>
    <col collapsed="false" customWidth="true" hidden="false" outlineLevel="0" max="4" min="4" style="0" width="26"/>
    <col collapsed="false" customWidth="true" hidden="false" outlineLevel="0" max="5" min="5" style="0" width="34"/>
  </cols>
  <sheetData>
    <row r="1" customFormat="false" ht="17.35" hidden="false" customHeight="false" outlineLevel="0" collapsed="false">
      <c r="A1" s="1" t="s">
        <v>59</v>
      </c>
    </row>
    <row r="2" customFormat="false" ht="15" hidden="false" customHeight="false" outlineLevel="0" collapsed="false">
      <c r="A2" s="2" t="s">
        <v>60</v>
      </c>
    </row>
    <row r="4" customFormat="false" ht="15" hidden="false" customHeight="false" outlineLevel="0" collapsed="false">
      <c r="A4" s="3" t="s">
        <v>61</v>
      </c>
      <c r="B4" s="4"/>
      <c r="C4" s="4"/>
      <c r="D4" s="4"/>
      <c r="E4" s="4"/>
    </row>
    <row r="5" customFormat="false" ht="15" hidden="false" customHeight="false" outlineLevel="0" collapsed="false">
      <c r="A5" s="5" t="s">
        <v>3</v>
      </c>
      <c r="B5" s="5" t="s">
        <v>4</v>
      </c>
      <c r="C5" s="5" t="s">
        <v>5</v>
      </c>
      <c r="D5" s="5" t="s">
        <v>6</v>
      </c>
      <c r="E5" s="5" t="s">
        <v>7</v>
      </c>
    </row>
    <row r="6" customFormat="false" ht="68.65" hidden="false" customHeight="false" outlineLevel="0" collapsed="false">
      <c r="A6" s="6" t="s">
        <v>62</v>
      </c>
      <c r="B6" s="6" t="s">
        <v>63</v>
      </c>
      <c r="C6" s="6" t="s">
        <v>64</v>
      </c>
      <c r="D6" s="6" t="s">
        <v>11</v>
      </c>
      <c r="E6" s="6" t="s">
        <v>65</v>
      </c>
    </row>
    <row r="7" customFormat="false" ht="35.05" hidden="false" customHeight="false" outlineLevel="0" collapsed="false">
      <c r="A7" s="6" t="s">
        <v>66</v>
      </c>
      <c r="B7" s="6" t="s">
        <v>67</v>
      </c>
      <c r="C7" s="6" t="s">
        <v>68</v>
      </c>
      <c r="D7" s="6" t="s">
        <v>11</v>
      </c>
      <c r="E7" s="6" t="s">
        <v>16</v>
      </c>
    </row>
    <row r="8" customFormat="false" ht="69.65" hidden="false" customHeight="false" outlineLevel="0" collapsed="false">
      <c r="A8" s="6" t="s">
        <v>69</v>
      </c>
      <c r="B8" s="6" t="s">
        <v>70</v>
      </c>
      <c r="C8" s="6" t="s">
        <v>71</v>
      </c>
      <c r="D8" s="6" t="s">
        <v>11</v>
      </c>
      <c r="E8" s="6" t="s">
        <v>72</v>
      </c>
    </row>
    <row r="9" customFormat="false" ht="80.55" hidden="false" customHeight="false" outlineLevel="0" collapsed="false">
      <c r="A9" s="6" t="s">
        <v>73</v>
      </c>
      <c r="B9" s="6" t="s">
        <v>74</v>
      </c>
      <c r="C9" s="6" t="s">
        <v>75</v>
      </c>
      <c r="D9" s="6" t="s">
        <v>76</v>
      </c>
      <c r="E9" s="6" t="s">
        <v>72</v>
      </c>
    </row>
    <row r="10" customFormat="false" ht="35.8" hidden="false" customHeight="false" outlineLevel="0" collapsed="false">
      <c r="A10" s="6" t="s">
        <v>77</v>
      </c>
      <c r="B10" s="6" t="s">
        <v>78</v>
      </c>
      <c r="C10" s="6" t="s">
        <v>79</v>
      </c>
      <c r="D10" s="6" t="s">
        <v>11</v>
      </c>
      <c r="E10" s="6" t="s">
        <v>72</v>
      </c>
    </row>
    <row r="11" customFormat="false" ht="46.75" hidden="false" customHeight="false" outlineLevel="0" collapsed="false">
      <c r="A11" s="6" t="s">
        <v>80</v>
      </c>
      <c r="B11" s="6" t="s">
        <v>81</v>
      </c>
      <c r="C11" s="6" t="s">
        <v>82</v>
      </c>
      <c r="D11" s="6" t="s">
        <v>11</v>
      </c>
      <c r="E11" s="6" t="s">
        <v>72</v>
      </c>
    </row>
    <row r="12" customFormat="false" ht="67.15" hidden="false" customHeight="false" outlineLevel="0" collapsed="false">
      <c r="A12" s="6" t="s">
        <v>83</v>
      </c>
      <c r="B12" s="6" t="s">
        <v>84</v>
      </c>
      <c r="C12" s="6" t="s">
        <v>85</v>
      </c>
      <c r="D12" s="6" t="s">
        <v>11</v>
      </c>
      <c r="E12" s="6" t="s">
        <v>16</v>
      </c>
    </row>
    <row r="13" customFormat="false" ht="89.55" hidden="false" customHeight="false" outlineLevel="0" collapsed="false">
      <c r="A13" s="6" t="s">
        <v>86</v>
      </c>
      <c r="B13" s="6" t="s">
        <v>87</v>
      </c>
      <c r="C13" s="6" t="s">
        <v>88</v>
      </c>
      <c r="D13" s="6" t="s">
        <v>89</v>
      </c>
      <c r="E13" s="6" t="s">
        <v>72</v>
      </c>
    </row>
    <row r="15" customFormat="false" ht="15" hidden="false" customHeight="false" outlineLevel="0" collapsed="false">
      <c r="A15" s="3" t="s">
        <v>90</v>
      </c>
      <c r="B15" s="4"/>
      <c r="C15" s="4"/>
      <c r="D15" s="4"/>
      <c r="E15" s="4"/>
    </row>
    <row r="16" customFormat="false" ht="15" hidden="false" customHeight="false" outlineLevel="0" collapsed="false">
      <c r="A16" s="5" t="s">
        <v>3</v>
      </c>
      <c r="B16" s="5" t="s">
        <v>4</v>
      </c>
      <c r="C16" s="5" t="s">
        <v>5</v>
      </c>
      <c r="D16" s="5" t="s">
        <v>6</v>
      </c>
      <c r="E16" s="5" t="s">
        <v>7</v>
      </c>
    </row>
    <row r="17" customFormat="false" ht="34.3" hidden="false" customHeight="false" outlineLevel="0" collapsed="false">
      <c r="A17" s="6" t="s">
        <v>91</v>
      </c>
      <c r="B17" s="6" t="s">
        <v>92</v>
      </c>
      <c r="C17" s="6" t="s">
        <v>93</v>
      </c>
      <c r="D17" s="6" t="s">
        <v>25</v>
      </c>
      <c r="E17" s="6" t="s">
        <v>16</v>
      </c>
    </row>
    <row r="18" customFormat="false" ht="44.75" hidden="false" customHeight="false" outlineLevel="0" collapsed="false">
      <c r="A18" s="6" t="s">
        <v>94</v>
      </c>
      <c r="B18" s="6" t="s">
        <v>95</v>
      </c>
      <c r="C18" s="6" t="s">
        <v>96</v>
      </c>
      <c r="D18" s="6" t="s">
        <v>25</v>
      </c>
      <c r="E18" s="6" t="s">
        <v>16</v>
      </c>
    </row>
    <row r="19" customFormat="false" ht="56.7" hidden="false" customHeight="false" outlineLevel="0" collapsed="false">
      <c r="A19" s="6" t="s">
        <v>97</v>
      </c>
      <c r="B19" s="6" t="s">
        <v>98</v>
      </c>
      <c r="C19" s="6" t="s">
        <v>99</v>
      </c>
      <c r="D19" s="6" t="s">
        <v>25</v>
      </c>
      <c r="E19" s="6" t="s">
        <v>100</v>
      </c>
    </row>
    <row r="20" customFormat="false" ht="22.35" hidden="false" customHeight="false" outlineLevel="0" collapsed="false">
      <c r="A20" s="6" t="s">
        <v>101</v>
      </c>
      <c r="B20" s="6" t="s">
        <v>102</v>
      </c>
      <c r="C20" s="6" t="s">
        <v>103</v>
      </c>
      <c r="D20" s="6" t="s">
        <v>29</v>
      </c>
      <c r="E20" s="6" t="s">
        <v>16</v>
      </c>
    </row>
    <row r="21" customFormat="false" ht="44.75" hidden="false" customHeight="false" outlineLevel="0" collapsed="false">
      <c r="A21" s="6" t="s">
        <v>104</v>
      </c>
      <c r="B21" s="6" t="s">
        <v>105</v>
      </c>
      <c r="C21" s="6" t="s">
        <v>106</v>
      </c>
      <c r="D21" s="6" t="s">
        <v>25</v>
      </c>
      <c r="E21" s="6" t="s">
        <v>16</v>
      </c>
    </row>
    <row r="22" customFormat="false" ht="56.7" hidden="false" customHeight="false" outlineLevel="0" collapsed="false">
      <c r="A22" s="6" t="s">
        <v>107</v>
      </c>
      <c r="B22" s="6" t="s">
        <v>108</v>
      </c>
      <c r="C22" s="6" t="s">
        <v>109</v>
      </c>
      <c r="D22" s="6" t="s">
        <v>110</v>
      </c>
      <c r="E22" s="6" t="s">
        <v>111</v>
      </c>
    </row>
    <row r="24" customFormat="false" ht="15" hidden="false" customHeight="false" outlineLevel="0" collapsed="false">
      <c r="A24" s="3" t="s">
        <v>112</v>
      </c>
      <c r="B24" s="4"/>
      <c r="C24" s="4"/>
      <c r="D24" s="4"/>
      <c r="E24" s="4"/>
    </row>
    <row r="25" customFormat="false" ht="15" hidden="false" customHeight="false" outlineLevel="0" collapsed="false">
      <c r="A25" s="5" t="s">
        <v>3</v>
      </c>
      <c r="B25" s="5" t="s">
        <v>4</v>
      </c>
      <c r="C25" s="5" t="s">
        <v>5</v>
      </c>
      <c r="D25" s="5" t="s">
        <v>6</v>
      </c>
      <c r="E25" s="5" t="s">
        <v>7</v>
      </c>
    </row>
    <row r="26" customFormat="false" ht="15" hidden="false" customHeight="false" outlineLevel="0" collapsed="false">
      <c r="A26" s="6" t="s">
        <v>113</v>
      </c>
      <c r="B26" s="6" t="s">
        <v>114</v>
      </c>
      <c r="C26" s="6" t="s">
        <v>115</v>
      </c>
      <c r="D26" s="6" t="s">
        <v>29</v>
      </c>
      <c r="E26" s="6" t="s">
        <v>16</v>
      </c>
    </row>
    <row r="27" customFormat="false" ht="56.7" hidden="false" customHeight="false" outlineLevel="0" collapsed="false">
      <c r="A27" s="6" t="s">
        <v>116</v>
      </c>
      <c r="B27" s="6" t="s">
        <v>117</v>
      </c>
      <c r="C27" s="6" t="s">
        <v>118</v>
      </c>
      <c r="D27" s="6" t="s">
        <v>25</v>
      </c>
      <c r="E27" s="6" t="s">
        <v>119</v>
      </c>
    </row>
    <row r="28" customFormat="false" ht="22.35" hidden="false" customHeight="false" outlineLevel="0" collapsed="false">
      <c r="A28" s="6" t="s">
        <v>120</v>
      </c>
      <c r="B28" s="6" t="s">
        <v>121</v>
      </c>
      <c r="C28" s="6" t="s">
        <v>122</v>
      </c>
      <c r="D28" s="6" t="s">
        <v>29</v>
      </c>
      <c r="E28" s="6" t="s">
        <v>16</v>
      </c>
    </row>
    <row r="29" customFormat="false" ht="34.3" hidden="false" customHeight="false" outlineLevel="0" collapsed="false">
      <c r="A29" s="6" t="s">
        <v>123</v>
      </c>
      <c r="B29" s="6" t="s">
        <v>124</v>
      </c>
      <c r="C29" s="6" t="s">
        <v>125</v>
      </c>
      <c r="D29" s="6" t="s">
        <v>29</v>
      </c>
      <c r="E29" s="6" t="s">
        <v>16</v>
      </c>
    </row>
    <row r="31" customFormat="false" ht="15" hidden="false" customHeight="false" outlineLevel="0" collapsed="false">
      <c r="A31" s="3" t="s">
        <v>126</v>
      </c>
      <c r="B31" s="4"/>
      <c r="C31" s="4"/>
      <c r="D31" s="4"/>
      <c r="E31" s="4"/>
    </row>
    <row r="32" customFormat="false" ht="15" hidden="false" customHeight="false" outlineLevel="0" collapsed="false">
      <c r="A32" s="5" t="s">
        <v>3</v>
      </c>
      <c r="B32" s="5" t="s">
        <v>4</v>
      </c>
      <c r="C32" s="5" t="s">
        <v>5</v>
      </c>
      <c r="D32" s="5" t="s">
        <v>6</v>
      </c>
      <c r="E32" s="5" t="s">
        <v>7</v>
      </c>
    </row>
    <row r="33" customFormat="false" ht="123.85" hidden="false" customHeight="false" outlineLevel="0" collapsed="false">
      <c r="A33" s="6" t="s">
        <v>127</v>
      </c>
      <c r="B33" s="6" t="s">
        <v>128</v>
      </c>
      <c r="C33" s="6" t="s">
        <v>129</v>
      </c>
      <c r="D33" s="6" t="s">
        <v>25</v>
      </c>
      <c r="E33" s="6" t="s">
        <v>130</v>
      </c>
    </row>
    <row r="34" customFormat="false" ht="56.7" hidden="false" customHeight="false" outlineLevel="0" collapsed="false">
      <c r="A34" s="6" t="s">
        <v>131</v>
      </c>
      <c r="B34" s="6" t="s">
        <v>132</v>
      </c>
      <c r="C34" s="6" t="s">
        <v>133</v>
      </c>
      <c r="D34" s="6" t="s">
        <v>29</v>
      </c>
      <c r="E34" s="6" t="s">
        <v>100</v>
      </c>
    </row>
    <row r="35" customFormat="false" ht="22.35" hidden="false" customHeight="false" outlineLevel="0" collapsed="false">
      <c r="A35" s="6" t="s">
        <v>134</v>
      </c>
      <c r="B35" s="6" t="s">
        <v>135</v>
      </c>
      <c r="C35" s="6" t="s">
        <v>136</v>
      </c>
      <c r="D35" s="6" t="s">
        <v>29</v>
      </c>
      <c r="E35" s="6" t="s">
        <v>16</v>
      </c>
    </row>
    <row r="36" customFormat="false" ht="34.3" hidden="false" customHeight="false" outlineLevel="0" collapsed="false">
      <c r="A36" s="6" t="s">
        <v>137</v>
      </c>
      <c r="B36" s="6" t="s">
        <v>138</v>
      </c>
      <c r="C36" s="6" t="s">
        <v>139</v>
      </c>
      <c r="D36" s="6" t="s">
        <v>25</v>
      </c>
      <c r="E36" s="6" t="s">
        <v>140</v>
      </c>
    </row>
    <row r="37" customFormat="false" ht="22.35" hidden="false" customHeight="false" outlineLevel="0" collapsed="false">
      <c r="A37" s="6" t="s">
        <v>141</v>
      </c>
      <c r="B37" s="6" t="s">
        <v>142</v>
      </c>
      <c r="C37" s="6" t="s">
        <v>133</v>
      </c>
      <c r="D37" s="6" t="s">
        <v>29</v>
      </c>
      <c r="E37" s="6" t="s">
        <v>16</v>
      </c>
    </row>
    <row r="38" customFormat="false" ht="15" hidden="false" customHeight="false" outlineLevel="0" collapsed="false">
      <c r="A38" s="6" t="s">
        <v>143</v>
      </c>
      <c r="B38" s="6" t="s">
        <v>144</v>
      </c>
      <c r="C38" s="6" t="s">
        <v>145</v>
      </c>
      <c r="D38" s="6" t="s">
        <v>29</v>
      </c>
      <c r="E38" s="6" t="s">
        <v>16</v>
      </c>
    </row>
    <row r="39" customFormat="false" ht="44.75" hidden="false" customHeight="false" outlineLevel="0" collapsed="false">
      <c r="A39" s="6" t="s">
        <v>146</v>
      </c>
      <c r="B39" s="6" t="s">
        <v>147</v>
      </c>
      <c r="C39" s="6" t="s">
        <v>148</v>
      </c>
      <c r="D39" s="6" t="s">
        <v>29</v>
      </c>
      <c r="E39" s="6" t="s">
        <v>100</v>
      </c>
    </row>
    <row r="41" customFormat="false" ht="15" hidden="false" customHeight="false" outlineLevel="0" collapsed="false">
      <c r="A41" s="3" t="s">
        <v>149</v>
      </c>
      <c r="B41" s="4"/>
      <c r="C41" s="4"/>
      <c r="D41" s="4"/>
      <c r="E41" s="4"/>
    </row>
    <row r="42" customFormat="false" ht="15" hidden="false" customHeight="false" outlineLevel="0" collapsed="false">
      <c r="A42" s="5" t="s">
        <v>39</v>
      </c>
      <c r="B42" s="5" t="s">
        <v>3</v>
      </c>
      <c r="C42" s="5" t="s">
        <v>40</v>
      </c>
      <c r="D42" s="5" t="s">
        <v>6</v>
      </c>
      <c r="E42" s="5" t="s">
        <v>7</v>
      </c>
    </row>
    <row r="43" customFormat="false" ht="23.85" hidden="false" customHeight="false" outlineLevel="0" collapsed="false">
      <c r="A43" s="6" t="s">
        <v>150</v>
      </c>
      <c r="B43" s="6" t="s">
        <v>97</v>
      </c>
      <c r="C43" s="6" t="s">
        <v>151</v>
      </c>
      <c r="D43" s="6" t="s">
        <v>25</v>
      </c>
      <c r="E43" s="6" t="s">
        <v>100</v>
      </c>
    </row>
    <row r="44" customFormat="false" ht="23.85" hidden="false" customHeight="false" outlineLevel="0" collapsed="false">
      <c r="A44" s="6" t="s">
        <v>150</v>
      </c>
      <c r="B44" s="6" t="s">
        <v>107</v>
      </c>
      <c r="C44" s="6" t="s">
        <v>152</v>
      </c>
      <c r="D44" s="6" t="s">
        <v>11</v>
      </c>
      <c r="E44" s="6" t="s">
        <v>153</v>
      </c>
    </row>
    <row r="45" customFormat="false" ht="23.85" hidden="false" customHeight="false" outlineLevel="0" collapsed="false">
      <c r="A45" s="6" t="s">
        <v>41</v>
      </c>
      <c r="B45" s="6" t="s">
        <v>91</v>
      </c>
      <c r="C45" s="6" t="s">
        <v>154</v>
      </c>
      <c r="D45" s="6" t="s">
        <v>25</v>
      </c>
      <c r="E45" s="6" t="s">
        <v>16</v>
      </c>
    </row>
    <row r="46" customFormat="false" ht="23.85" hidden="false" customHeight="false" outlineLevel="0" collapsed="false">
      <c r="A46" s="6" t="s">
        <v>41</v>
      </c>
      <c r="B46" s="6" t="s">
        <v>94</v>
      </c>
      <c r="C46" s="6" t="s">
        <v>155</v>
      </c>
      <c r="D46" s="6" t="s">
        <v>25</v>
      </c>
      <c r="E46" s="6" t="s">
        <v>16</v>
      </c>
    </row>
    <row r="47" customFormat="false" ht="15" hidden="false" customHeight="false" outlineLevel="0" collapsed="false">
      <c r="A47" s="6" t="s">
        <v>41</v>
      </c>
      <c r="B47" s="6" t="s">
        <v>101</v>
      </c>
      <c r="C47" s="6" t="s">
        <v>156</v>
      </c>
      <c r="D47" s="6" t="s">
        <v>29</v>
      </c>
      <c r="E47" s="6" t="s">
        <v>16</v>
      </c>
    </row>
    <row r="48" customFormat="false" ht="15" hidden="false" customHeight="false" outlineLevel="0" collapsed="false">
      <c r="A48" s="6" t="s">
        <v>41</v>
      </c>
      <c r="B48" s="6" t="s">
        <v>104</v>
      </c>
      <c r="C48" s="6" t="s">
        <v>157</v>
      </c>
      <c r="D48" s="6" t="s">
        <v>25</v>
      </c>
      <c r="E48" s="6" t="s">
        <v>16</v>
      </c>
    </row>
    <row r="49" customFormat="false" ht="15" hidden="false" customHeight="false" outlineLevel="0" collapsed="false">
      <c r="A49" s="6" t="s">
        <v>46</v>
      </c>
      <c r="B49" s="6" t="s">
        <v>113</v>
      </c>
      <c r="C49" s="6" t="s">
        <v>158</v>
      </c>
      <c r="D49" s="6" t="s">
        <v>29</v>
      </c>
      <c r="E49" s="6" t="s">
        <v>16</v>
      </c>
    </row>
    <row r="50" customFormat="false" ht="15" hidden="false" customHeight="false" outlineLevel="0" collapsed="false">
      <c r="A50" s="6" t="s">
        <v>46</v>
      </c>
      <c r="B50" s="6" t="s">
        <v>116</v>
      </c>
      <c r="C50" s="6" t="s">
        <v>159</v>
      </c>
      <c r="D50" s="6" t="s">
        <v>25</v>
      </c>
      <c r="E50" s="6" t="s">
        <v>119</v>
      </c>
    </row>
    <row r="51" customFormat="false" ht="15" hidden="false" customHeight="false" outlineLevel="0" collapsed="false">
      <c r="A51" s="6" t="s">
        <v>46</v>
      </c>
      <c r="B51" s="6" t="s">
        <v>120</v>
      </c>
      <c r="C51" s="6" t="s">
        <v>160</v>
      </c>
      <c r="D51" s="6" t="s">
        <v>29</v>
      </c>
      <c r="E51" s="6" t="s">
        <v>16</v>
      </c>
    </row>
    <row r="52" customFormat="false" ht="15" hidden="false" customHeight="false" outlineLevel="0" collapsed="false">
      <c r="A52" s="6" t="s">
        <v>46</v>
      </c>
      <c r="B52" s="6" t="s">
        <v>123</v>
      </c>
      <c r="C52" s="6" t="s">
        <v>161</v>
      </c>
      <c r="D52" s="6" t="s">
        <v>29</v>
      </c>
      <c r="E52" s="6" t="s">
        <v>16</v>
      </c>
    </row>
    <row r="53" customFormat="false" ht="15" hidden="false" customHeight="false" outlineLevel="0" collapsed="false">
      <c r="A53" s="6" t="s">
        <v>162</v>
      </c>
      <c r="B53" s="6" t="s">
        <v>131</v>
      </c>
      <c r="C53" s="6" t="s">
        <v>163</v>
      </c>
      <c r="D53" s="6" t="s">
        <v>29</v>
      </c>
      <c r="E53" s="6" t="s">
        <v>100</v>
      </c>
    </row>
    <row r="54" customFormat="false" ht="15" hidden="false" customHeight="false" outlineLevel="0" collapsed="false">
      <c r="A54" s="6" t="s">
        <v>162</v>
      </c>
      <c r="B54" s="6" t="s">
        <v>137</v>
      </c>
      <c r="C54" s="6" t="s">
        <v>164</v>
      </c>
      <c r="D54" s="6" t="s">
        <v>25</v>
      </c>
      <c r="E54" s="6" t="s">
        <v>140</v>
      </c>
    </row>
    <row r="55" customFormat="false" ht="15" hidden="false" customHeight="false" outlineLevel="0" collapsed="false">
      <c r="A55" s="6" t="s">
        <v>162</v>
      </c>
      <c r="B55" s="6" t="s">
        <v>141</v>
      </c>
      <c r="C55" s="6" t="s">
        <v>165</v>
      </c>
      <c r="D55" s="6" t="s">
        <v>29</v>
      </c>
      <c r="E55" s="6" t="s">
        <v>16</v>
      </c>
    </row>
    <row r="56" customFormat="false" ht="15" hidden="false" customHeight="false" outlineLevel="0" collapsed="false">
      <c r="A56" s="6" t="s">
        <v>162</v>
      </c>
      <c r="B56" s="6" t="s">
        <v>143</v>
      </c>
      <c r="C56" s="6" t="s">
        <v>166</v>
      </c>
      <c r="D56" s="6" t="s">
        <v>29</v>
      </c>
      <c r="E56" s="6" t="s">
        <v>16</v>
      </c>
    </row>
    <row r="57" customFormat="false" ht="23.85" hidden="false" customHeight="false" outlineLevel="0" collapsed="false">
      <c r="A57" s="6" t="s">
        <v>48</v>
      </c>
      <c r="B57" s="6" t="s">
        <v>127</v>
      </c>
      <c r="C57" s="6" t="s">
        <v>167</v>
      </c>
      <c r="D57" s="6" t="s">
        <v>25</v>
      </c>
      <c r="E57" s="6" t="s">
        <v>168</v>
      </c>
    </row>
    <row r="58" customFormat="false" ht="15" hidden="false" customHeight="false" outlineLevel="0" collapsed="false">
      <c r="A58" s="6" t="s">
        <v>48</v>
      </c>
      <c r="B58" s="6" t="s">
        <v>134</v>
      </c>
      <c r="C58" s="6" t="s">
        <v>169</v>
      </c>
      <c r="D58" s="6" t="s">
        <v>29</v>
      </c>
      <c r="E58" s="6" t="s">
        <v>16</v>
      </c>
    </row>
    <row r="59" customFormat="false" ht="15" hidden="false" customHeight="false" outlineLevel="0" collapsed="false">
      <c r="A59" s="6" t="s">
        <v>48</v>
      </c>
      <c r="B59" s="6" t="s">
        <v>146</v>
      </c>
      <c r="C59" s="6" t="s">
        <v>170</v>
      </c>
      <c r="D59" s="6" t="s">
        <v>29</v>
      </c>
      <c r="E59" s="6" t="s">
        <v>100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3" topLeftCell="A4" activePane="bottomLeft" state="frozen"/>
      <selection pane="topLeft" activeCell="A1" activeCellId="0" sqref="A1"/>
      <selection pane="bottomLeft" activeCell="B17" activeCellId="0" sqref="B17"/>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9.3"/>
    <col collapsed="false" customWidth="true" hidden="false" outlineLevel="0" max="3" min="3" style="0" width="82.35"/>
    <col collapsed="false" customWidth="true" hidden="false" outlineLevel="0" max="4" min="4" style="0" width="15.3"/>
    <col collapsed="false" customWidth="true" hidden="false" outlineLevel="0" max="5" min="5" style="0" width="34"/>
  </cols>
  <sheetData>
    <row r="1" customFormat="false" ht="17.35" hidden="false" customHeight="false" outlineLevel="0" collapsed="false">
      <c r="A1" s="1" t="s">
        <v>171</v>
      </c>
    </row>
    <row r="2" customFormat="false" ht="15" hidden="false" customHeight="false" outlineLevel="0" collapsed="false">
      <c r="A2" s="2" t="s">
        <v>172</v>
      </c>
    </row>
    <row r="4" customFormat="false" ht="15" hidden="false" customHeight="false" outlineLevel="0" collapsed="false">
      <c r="A4" s="3" t="s">
        <v>2</v>
      </c>
      <c r="B4" s="4"/>
      <c r="C4" s="4"/>
      <c r="D4" s="4"/>
      <c r="E4" s="4"/>
    </row>
    <row r="5" customFormat="false" ht="15" hidden="false" customHeight="false" outlineLevel="0" collapsed="false">
      <c r="A5" s="5" t="s">
        <v>3</v>
      </c>
      <c r="B5" s="5" t="s">
        <v>4</v>
      </c>
      <c r="C5" s="5" t="s">
        <v>5</v>
      </c>
      <c r="D5" s="5" t="s">
        <v>6</v>
      </c>
      <c r="E5" s="5" t="s">
        <v>7</v>
      </c>
    </row>
    <row r="6" customFormat="false" ht="57.45" hidden="false" customHeight="false" outlineLevel="0" collapsed="false">
      <c r="A6" s="6" t="s">
        <v>173</v>
      </c>
      <c r="B6" s="6" t="s">
        <v>174</v>
      </c>
      <c r="C6" s="6" t="s">
        <v>175</v>
      </c>
      <c r="D6" s="6" t="s">
        <v>11</v>
      </c>
      <c r="E6" s="6" t="s">
        <v>72</v>
      </c>
    </row>
    <row r="7" customFormat="false" ht="57.45" hidden="false" customHeight="false" outlineLevel="0" collapsed="false">
      <c r="A7" s="6" t="s">
        <v>176</v>
      </c>
      <c r="B7" s="6" t="s">
        <v>177</v>
      </c>
      <c r="C7" s="6" t="s">
        <v>178</v>
      </c>
      <c r="D7" s="6" t="s">
        <v>11</v>
      </c>
      <c r="E7" s="6" t="s">
        <v>72</v>
      </c>
    </row>
    <row r="8" customFormat="false" ht="68.65" hidden="false" customHeight="false" outlineLevel="0" collapsed="false">
      <c r="A8" s="6" t="s">
        <v>179</v>
      </c>
      <c r="B8" s="6" t="s">
        <v>180</v>
      </c>
      <c r="C8" s="6" t="s">
        <v>181</v>
      </c>
      <c r="D8" s="6" t="s">
        <v>11</v>
      </c>
      <c r="E8" s="6" t="s">
        <v>72</v>
      </c>
    </row>
    <row r="9" customFormat="false" ht="46.25" hidden="false" customHeight="false" outlineLevel="0" collapsed="false">
      <c r="A9" s="6" t="s">
        <v>182</v>
      </c>
      <c r="B9" s="6" t="s">
        <v>183</v>
      </c>
      <c r="C9" s="6" t="s">
        <v>184</v>
      </c>
      <c r="D9" s="6" t="s">
        <v>11</v>
      </c>
      <c r="E9" s="6" t="s">
        <v>72</v>
      </c>
    </row>
    <row r="10" customFormat="false" ht="57.45" hidden="false" customHeight="false" outlineLevel="0" collapsed="false">
      <c r="A10" s="6" t="s">
        <v>185</v>
      </c>
      <c r="B10" s="6" t="s">
        <v>186</v>
      </c>
      <c r="C10" s="6" t="s">
        <v>187</v>
      </c>
      <c r="D10" s="6" t="s">
        <v>11</v>
      </c>
      <c r="E10" s="6" t="s">
        <v>72</v>
      </c>
    </row>
    <row r="11" customFormat="false" ht="57.45" hidden="false" customHeight="false" outlineLevel="0" collapsed="false">
      <c r="A11" s="6" t="s">
        <v>188</v>
      </c>
      <c r="B11" s="6" t="s">
        <v>189</v>
      </c>
      <c r="C11" s="6" t="s">
        <v>190</v>
      </c>
      <c r="D11" s="6" t="s">
        <v>11</v>
      </c>
      <c r="E11" s="6" t="s">
        <v>72</v>
      </c>
    </row>
    <row r="12" customFormat="false" ht="57.45" hidden="false" customHeight="false" outlineLevel="0" collapsed="false">
      <c r="A12" s="6" t="s">
        <v>191</v>
      </c>
      <c r="B12" s="6" t="s">
        <v>192</v>
      </c>
      <c r="C12" s="6" t="s">
        <v>193</v>
      </c>
      <c r="D12" s="6" t="s">
        <v>11</v>
      </c>
      <c r="E12" s="6" t="s">
        <v>72</v>
      </c>
    </row>
    <row r="13" customFormat="false" ht="46.25" hidden="false" customHeight="false" outlineLevel="0" collapsed="false">
      <c r="A13" s="6" t="s">
        <v>194</v>
      </c>
      <c r="B13" s="6" t="s">
        <v>195</v>
      </c>
      <c r="C13" s="6" t="s">
        <v>196</v>
      </c>
      <c r="D13" s="6" t="s">
        <v>11</v>
      </c>
      <c r="E13" s="6" t="s">
        <v>72</v>
      </c>
    </row>
    <row r="14" customFormat="false" ht="35.05" hidden="false" customHeight="false" outlineLevel="0" collapsed="false">
      <c r="A14" s="6" t="s">
        <v>197</v>
      </c>
      <c r="B14" s="6" t="s">
        <v>198</v>
      </c>
      <c r="C14" s="6" t="s">
        <v>199</v>
      </c>
      <c r="D14" s="6" t="s">
        <v>11</v>
      </c>
      <c r="E14" s="6" t="s">
        <v>72</v>
      </c>
    </row>
    <row r="15" customFormat="false" ht="68.65" hidden="false" customHeight="false" outlineLevel="0" collapsed="false">
      <c r="A15" s="6" t="s">
        <v>200</v>
      </c>
      <c r="B15" s="6" t="s">
        <v>201</v>
      </c>
      <c r="C15" s="6" t="s">
        <v>202</v>
      </c>
      <c r="D15" s="6" t="s">
        <v>11</v>
      </c>
      <c r="E15" s="6" t="s">
        <v>72</v>
      </c>
    </row>
    <row r="16" customFormat="false" ht="57.45" hidden="false" customHeight="false" outlineLevel="0" collapsed="false">
      <c r="A16" s="6" t="s">
        <v>203</v>
      </c>
      <c r="B16" s="6" t="s">
        <v>204</v>
      </c>
      <c r="C16" s="6" t="s">
        <v>205</v>
      </c>
      <c r="D16" s="6" t="s">
        <v>11</v>
      </c>
      <c r="E16" s="6" t="s">
        <v>72</v>
      </c>
    </row>
    <row r="17" customFormat="false" ht="35.05" hidden="false" customHeight="false" outlineLevel="0" collapsed="false">
      <c r="A17" s="6" t="s">
        <v>206</v>
      </c>
      <c r="B17" s="6" t="s">
        <v>207</v>
      </c>
      <c r="C17" s="6" t="s">
        <v>208</v>
      </c>
      <c r="D17" s="6" t="s">
        <v>11</v>
      </c>
      <c r="E17" s="6" t="s">
        <v>72</v>
      </c>
    </row>
    <row r="18" customFormat="false" ht="46.25" hidden="false" customHeight="false" outlineLevel="0" collapsed="false">
      <c r="A18" s="6" t="s">
        <v>209</v>
      </c>
      <c r="B18" s="6" t="s">
        <v>210</v>
      </c>
      <c r="C18" s="6" t="s">
        <v>211</v>
      </c>
      <c r="D18" s="6" t="s">
        <v>11</v>
      </c>
      <c r="E18" s="6" t="s">
        <v>72</v>
      </c>
    </row>
    <row r="20" customFormat="false" ht="15" hidden="false" customHeight="false" outlineLevel="0" collapsed="false">
      <c r="A20" s="3" t="s">
        <v>21</v>
      </c>
      <c r="B20" s="4"/>
      <c r="C20" s="4"/>
      <c r="D20" s="4"/>
      <c r="E20" s="4"/>
    </row>
    <row r="21" customFormat="false" ht="15" hidden="false" customHeight="false" outlineLevel="0" collapsed="false">
      <c r="A21" s="5" t="s">
        <v>3</v>
      </c>
      <c r="B21" s="5" t="s">
        <v>4</v>
      </c>
      <c r="C21" s="5" t="s">
        <v>5</v>
      </c>
      <c r="D21" s="5" t="s">
        <v>6</v>
      </c>
      <c r="E21" s="5" t="s">
        <v>7</v>
      </c>
    </row>
    <row r="22" customFormat="false" ht="57.45" hidden="false" customHeight="false" outlineLevel="0" collapsed="false">
      <c r="A22" s="6" t="s">
        <v>212</v>
      </c>
      <c r="B22" s="6" t="s">
        <v>213</v>
      </c>
      <c r="C22" s="6" t="s">
        <v>214</v>
      </c>
      <c r="D22" s="6" t="s">
        <v>11</v>
      </c>
      <c r="E22" s="6" t="s">
        <v>215</v>
      </c>
    </row>
    <row r="23" customFormat="false" ht="35.05" hidden="false" customHeight="false" outlineLevel="0" collapsed="false">
      <c r="A23" s="6" t="s">
        <v>216</v>
      </c>
      <c r="B23" s="6" t="s">
        <v>217</v>
      </c>
      <c r="C23" s="6" t="s">
        <v>218</v>
      </c>
      <c r="D23" s="6" t="s">
        <v>25</v>
      </c>
      <c r="E23" s="6" t="s">
        <v>119</v>
      </c>
    </row>
    <row r="24" customFormat="false" ht="23.85" hidden="false" customHeight="false" outlineLevel="0" collapsed="false">
      <c r="A24" s="6" t="s">
        <v>219</v>
      </c>
      <c r="B24" s="6" t="s">
        <v>220</v>
      </c>
      <c r="C24" s="6" t="s">
        <v>221</v>
      </c>
      <c r="D24" s="6" t="s">
        <v>25</v>
      </c>
      <c r="E24" s="6" t="s">
        <v>119</v>
      </c>
    </row>
    <row r="25" customFormat="false" ht="46.25" hidden="false" customHeight="false" outlineLevel="0" collapsed="false">
      <c r="A25" s="6" t="s">
        <v>222</v>
      </c>
      <c r="B25" s="6" t="s">
        <v>223</v>
      </c>
      <c r="C25" s="6" t="s">
        <v>224</v>
      </c>
      <c r="D25" s="6" t="s">
        <v>25</v>
      </c>
      <c r="E25" s="6" t="s">
        <v>119</v>
      </c>
    </row>
    <row r="26" customFormat="false" ht="46.25" hidden="false" customHeight="false" outlineLevel="0" collapsed="false">
      <c r="A26" s="6" t="s">
        <v>225</v>
      </c>
      <c r="B26" s="6" t="s">
        <v>226</v>
      </c>
      <c r="C26" s="6" t="s">
        <v>227</v>
      </c>
      <c r="D26" s="6" t="s">
        <v>25</v>
      </c>
      <c r="E26" s="6" t="s">
        <v>119</v>
      </c>
    </row>
    <row r="28" customFormat="false" ht="15" hidden="false" customHeight="false" outlineLevel="0" collapsed="false">
      <c r="A28" s="3" t="s">
        <v>30</v>
      </c>
      <c r="B28" s="4"/>
      <c r="C28" s="4"/>
      <c r="D28" s="4"/>
      <c r="E28" s="4"/>
    </row>
    <row r="29" customFormat="false" ht="15" hidden="false" customHeight="false" outlineLevel="0" collapsed="false">
      <c r="A29" s="5" t="s">
        <v>3</v>
      </c>
      <c r="B29" s="5" t="s">
        <v>4</v>
      </c>
      <c r="C29" s="5" t="s">
        <v>5</v>
      </c>
      <c r="D29" s="5" t="s">
        <v>6</v>
      </c>
      <c r="E29" s="5" t="s">
        <v>7</v>
      </c>
    </row>
    <row r="30" customFormat="false" ht="35.05" hidden="false" customHeight="false" outlineLevel="0" collapsed="false">
      <c r="A30" s="6" t="s">
        <v>228</v>
      </c>
      <c r="B30" s="6" t="s">
        <v>229</v>
      </c>
      <c r="C30" s="6" t="s">
        <v>230</v>
      </c>
      <c r="D30" s="6" t="s">
        <v>29</v>
      </c>
      <c r="E30" s="6" t="s">
        <v>119</v>
      </c>
    </row>
    <row r="31" customFormat="false" ht="35.05" hidden="false" customHeight="false" outlineLevel="0" collapsed="false">
      <c r="A31" s="6" t="s">
        <v>231</v>
      </c>
      <c r="B31" s="6" t="s">
        <v>232</v>
      </c>
      <c r="C31" s="6" t="s">
        <v>233</v>
      </c>
      <c r="D31" s="6" t="s">
        <v>29</v>
      </c>
      <c r="E31" s="6" t="s">
        <v>119</v>
      </c>
    </row>
    <row r="32" customFormat="false" ht="23.85" hidden="false" customHeight="false" outlineLevel="0" collapsed="false">
      <c r="A32" s="6" t="s">
        <v>234</v>
      </c>
      <c r="B32" s="6" t="s">
        <v>235</v>
      </c>
      <c r="C32" s="6" t="s">
        <v>236</v>
      </c>
      <c r="D32" s="6" t="s">
        <v>25</v>
      </c>
      <c r="E32" s="6" t="s">
        <v>119</v>
      </c>
    </row>
    <row r="33" customFormat="false" ht="46.25" hidden="false" customHeight="false" outlineLevel="0" collapsed="false">
      <c r="A33" s="6" t="s">
        <v>237</v>
      </c>
      <c r="B33" s="6" t="s">
        <v>238</v>
      </c>
      <c r="C33" s="6" t="s">
        <v>239</v>
      </c>
      <c r="D33" s="6" t="s">
        <v>29</v>
      </c>
      <c r="E33" s="6" t="s">
        <v>119</v>
      </c>
    </row>
    <row r="34" customFormat="false" ht="35.05" hidden="false" customHeight="false" outlineLevel="0" collapsed="false">
      <c r="A34" s="6" t="s">
        <v>240</v>
      </c>
      <c r="B34" s="6" t="s">
        <v>241</v>
      </c>
      <c r="C34" s="6" t="s">
        <v>242</v>
      </c>
      <c r="D34" s="6" t="s">
        <v>25</v>
      </c>
      <c r="E34" s="6" t="s">
        <v>119</v>
      </c>
    </row>
    <row r="36" customFormat="false" ht="15" hidden="false" customHeight="false" outlineLevel="0" collapsed="false">
      <c r="A36" s="3" t="s">
        <v>34</v>
      </c>
      <c r="B36" s="4"/>
      <c r="C36" s="4"/>
      <c r="D36" s="4"/>
      <c r="E36" s="4"/>
    </row>
    <row r="37" customFormat="false" ht="15" hidden="false" customHeight="false" outlineLevel="0" collapsed="false">
      <c r="A37" s="5" t="s">
        <v>3</v>
      </c>
      <c r="B37" s="5" t="s">
        <v>4</v>
      </c>
      <c r="C37" s="5" t="s">
        <v>5</v>
      </c>
      <c r="D37" s="5" t="s">
        <v>6</v>
      </c>
      <c r="E37" s="5" t="s">
        <v>7</v>
      </c>
    </row>
    <row r="38" customFormat="false" ht="35.05" hidden="false" customHeight="false" outlineLevel="0" collapsed="false">
      <c r="A38" s="6" t="s">
        <v>243</v>
      </c>
      <c r="B38" s="6" t="s">
        <v>244</v>
      </c>
      <c r="C38" s="6" t="s">
        <v>245</v>
      </c>
      <c r="D38" s="6" t="s">
        <v>11</v>
      </c>
      <c r="E38" s="6" t="s">
        <v>215</v>
      </c>
    </row>
    <row r="39" customFormat="false" ht="23.85" hidden="false" customHeight="false" outlineLevel="0" collapsed="false">
      <c r="A39" s="6" t="s">
        <v>246</v>
      </c>
      <c r="B39" s="6" t="s">
        <v>247</v>
      </c>
      <c r="C39" s="6" t="s">
        <v>248</v>
      </c>
      <c r="D39" s="6" t="s">
        <v>29</v>
      </c>
      <c r="E39" s="6" t="s">
        <v>119</v>
      </c>
    </row>
    <row r="40" customFormat="false" ht="35.05" hidden="false" customHeight="false" outlineLevel="0" collapsed="false">
      <c r="A40" s="6" t="s">
        <v>249</v>
      </c>
      <c r="B40" s="6" t="s">
        <v>250</v>
      </c>
      <c r="C40" s="6" t="s">
        <v>251</v>
      </c>
      <c r="D40" s="6" t="s">
        <v>29</v>
      </c>
      <c r="E40" s="6" t="s">
        <v>119</v>
      </c>
    </row>
    <row r="41" customFormat="false" ht="35.05" hidden="false" customHeight="false" outlineLevel="0" collapsed="false">
      <c r="A41" s="6" t="s">
        <v>252</v>
      </c>
      <c r="B41" s="6" t="s">
        <v>253</v>
      </c>
      <c r="C41" s="6" t="s">
        <v>254</v>
      </c>
      <c r="D41" s="6" t="s">
        <v>29</v>
      </c>
      <c r="E41" s="6" t="s">
        <v>119</v>
      </c>
    </row>
    <row r="42" customFormat="false" ht="46.25" hidden="false" customHeight="false" outlineLevel="0" collapsed="false">
      <c r="A42" s="6" t="s">
        <v>255</v>
      </c>
      <c r="B42" s="6" t="s">
        <v>256</v>
      </c>
      <c r="C42" s="6" t="s">
        <v>257</v>
      </c>
      <c r="D42" s="6" t="s">
        <v>25</v>
      </c>
      <c r="E42" s="6" t="s">
        <v>119</v>
      </c>
    </row>
    <row r="43" customFormat="false" ht="35.05" hidden="false" customHeight="false" outlineLevel="0" collapsed="false">
      <c r="A43" s="6" t="s">
        <v>258</v>
      </c>
      <c r="B43" s="6" t="s">
        <v>259</v>
      </c>
      <c r="C43" s="6" t="s">
        <v>260</v>
      </c>
      <c r="D43" s="6" t="s">
        <v>29</v>
      </c>
      <c r="E43" s="6" t="s">
        <v>119</v>
      </c>
    </row>
    <row r="44" customFormat="false" ht="35.05" hidden="false" customHeight="false" outlineLevel="0" collapsed="false">
      <c r="A44" s="6" t="s">
        <v>261</v>
      </c>
      <c r="B44" s="6" t="s">
        <v>262</v>
      </c>
      <c r="C44" s="6" t="s">
        <v>263</v>
      </c>
      <c r="D44" s="6" t="s">
        <v>25</v>
      </c>
      <c r="E44" s="6" t="s">
        <v>119</v>
      </c>
    </row>
    <row r="45" customFormat="false" ht="35.05" hidden="false" customHeight="false" outlineLevel="0" collapsed="false">
      <c r="A45" s="6" t="s">
        <v>264</v>
      </c>
      <c r="B45" s="6" t="s">
        <v>265</v>
      </c>
      <c r="C45" s="6" t="s">
        <v>266</v>
      </c>
      <c r="D45" s="6" t="s">
        <v>29</v>
      </c>
      <c r="E45" s="6" t="s">
        <v>119</v>
      </c>
    </row>
    <row r="46" customFormat="false" ht="35.05" hidden="false" customHeight="false" outlineLevel="0" collapsed="false">
      <c r="A46" s="6" t="s">
        <v>267</v>
      </c>
      <c r="B46" s="6" t="s">
        <v>268</v>
      </c>
      <c r="C46" s="6" t="s">
        <v>269</v>
      </c>
      <c r="D46" s="6" t="s">
        <v>29</v>
      </c>
      <c r="E46" s="6" t="s">
        <v>119</v>
      </c>
    </row>
    <row r="48" customFormat="false" ht="15" hidden="false" customHeight="false" outlineLevel="0" collapsed="false">
      <c r="A48" s="3" t="s">
        <v>149</v>
      </c>
      <c r="B48" s="4"/>
      <c r="C48" s="4"/>
      <c r="D48" s="4"/>
      <c r="E48" s="4"/>
    </row>
    <row r="49" customFormat="false" ht="15" hidden="false" customHeight="false" outlineLevel="0" collapsed="false">
      <c r="A49" s="5" t="s">
        <v>39</v>
      </c>
      <c r="B49" s="5" t="s">
        <v>3</v>
      </c>
      <c r="C49" s="5" t="s">
        <v>40</v>
      </c>
      <c r="D49" s="5" t="s">
        <v>6</v>
      </c>
      <c r="E49" s="5" t="s">
        <v>7</v>
      </c>
    </row>
    <row r="50" customFormat="false" ht="23.85" hidden="false" customHeight="false" outlineLevel="0" collapsed="false">
      <c r="A50" s="6" t="s">
        <v>270</v>
      </c>
      <c r="B50" s="6" t="s">
        <v>212</v>
      </c>
      <c r="C50" s="6" t="s">
        <v>271</v>
      </c>
      <c r="D50" s="6" t="s">
        <v>11</v>
      </c>
      <c r="E50" s="6" t="s">
        <v>119</v>
      </c>
    </row>
    <row r="51" customFormat="false" ht="23.85" hidden="false" customHeight="false" outlineLevel="0" collapsed="false">
      <c r="A51" s="6" t="s">
        <v>270</v>
      </c>
      <c r="B51" s="6" t="s">
        <v>216</v>
      </c>
      <c r="C51" s="6" t="s">
        <v>272</v>
      </c>
      <c r="D51" s="6" t="s">
        <v>25</v>
      </c>
      <c r="E51" s="6" t="s">
        <v>119</v>
      </c>
    </row>
    <row r="52" customFormat="false" ht="23.85" hidden="false" customHeight="false" outlineLevel="0" collapsed="false">
      <c r="A52" s="6" t="s">
        <v>270</v>
      </c>
      <c r="B52" s="6" t="s">
        <v>219</v>
      </c>
      <c r="C52" s="6" t="s">
        <v>273</v>
      </c>
      <c r="D52" s="6" t="s">
        <v>25</v>
      </c>
      <c r="E52" s="6" t="s">
        <v>119</v>
      </c>
    </row>
    <row r="53" customFormat="false" ht="23.85" hidden="false" customHeight="false" outlineLevel="0" collapsed="false">
      <c r="A53" s="6" t="s">
        <v>274</v>
      </c>
      <c r="B53" s="6" t="s">
        <v>222</v>
      </c>
      <c r="C53" s="6" t="s">
        <v>275</v>
      </c>
      <c r="D53" s="6" t="s">
        <v>25</v>
      </c>
      <c r="E53" s="6" t="s">
        <v>119</v>
      </c>
    </row>
    <row r="54" customFormat="false" ht="23.85" hidden="false" customHeight="false" outlineLevel="0" collapsed="false">
      <c r="A54" s="6" t="s">
        <v>274</v>
      </c>
      <c r="B54" s="6" t="s">
        <v>225</v>
      </c>
      <c r="C54" s="6" t="s">
        <v>276</v>
      </c>
      <c r="D54" s="6" t="s">
        <v>25</v>
      </c>
      <c r="E54" s="6" t="s">
        <v>119</v>
      </c>
    </row>
    <row r="55" customFormat="false" ht="15" hidden="false" customHeight="false" outlineLevel="0" collapsed="false">
      <c r="A55" s="6" t="s">
        <v>277</v>
      </c>
      <c r="B55" s="6" t="s">
        <v>234</v>
      </c>
      <c r="C55" s="6" t="s">
        <v>278</v>
      </c>
      <c r="D55" s="6" t="s">
        <v>25</v>
      </c>
      <c r="E55" s="6" t="s">
        <v>119</v>
      </c>
    </row>
    <row r="56" customFormat="false" ht="15" hidden="false" customHeight="false" outlineLevel="0" collapsed="false">
      <c r="A56" s="6" t="s">
        <v>277</v>
      </c>
      <c r="B56" s="6" t="s">
        <v>231</v>
      </c>
      <c r="C56" s="6" t="s">
        <v>279</v>
      </c>
      <c r="D56" s="6" t="s">
        <v>29</v>
      </c>
      <c r="E56" s="6" t="s">
        <v>119</v>
      </c>
    </row>
    <row r="57" customFormat="false" ht="15" hidden="false" customHeight="false" outlineLevel="0" collapsed="false">
      <c r="A57" s="6" t="s">
        <v>277</v>
      </c>
      <c r="B57" s="6" t="s">
        <v>237</v>
      </c>
      <c r="C57" s="6" t="s">
        <v>280</v>
      </c>
      <c r="D57" s="6" t="s">
        <v>29</v>
      </c>
      <c r="E57" s="6" t="s">
        <v>119</v>
      </c>
    </row>
    <row r="58" customFormat="false" ht="15" hidden="false" customHeight="false" outlineLevel="0" collapsed="false">
      <c r="A58" s="6" t="s">
        <v>277</v>
      </c>
      <c r="B58" s="6" t="s">
        <v>228</v>
      </c>
      <c r="C58" s="6" t="s">
        <v>281</v>
      </c>
      <c r="D58" s="6" t="s">
        <v>29</v>
      </c>
      <c r="E58" s="6" t="s">
        <v>119</v>
      </c>
    </row>
    <row r="59" customFormat="false" ht="23.85" hidden="false" customHeight="false" outlineLevel="0" collapsed="false">
      <c r="A59" s="6" t="s">
        <v>282</v>
      </c>
      <c r="B59" s="6" t="s">
        <v>243</v>
      </c>
      <c r="C59" s="6" t="s">
        <v>283</v>
      </c>
      <c r="D59" s="6" t="s">
        <v>11</v>
      </c>
      <c r="E59" s="6" t="s">
        <v>119</v>
      </c>
    </row>
    <row r="60" customFormat="false" ht="23.85" hidden="false" customHeight="false" outlineLevel="0" collapsed="false">
      <c r="A60" s="6" t="s">
        <v>282</v>
      </c>
      <c r="B60" s="6" t="s">
        <v>261</v>
      </c>
      <c r="C60" s="6" t="s">
        <v>284</v>
      </c>
      <c r="D60" s="6" t="s">
        <v>25</v>
      </c>
      <c r="E60" s="6" t="s">
        <v>119</v>
      </c>
    </row>
    <row r="61" customFormat="false" ht="23.85" hidden="false" customHeight="false" outlineLevel="0" collapsed="false">
      <c r="A61" s="6" t="s">
        <v>282</v>
      </c>
      <c r="B61" s="6" t="s">
        <v>255</v>
      </c>
      <c r="C61" s="6" t="s">
        <v>285</v>
      </c>
      <c r="D61" s="6" t="s">
        <v>25</v>
      </c>
      <c r="E61" s="6" t="s">
        <v>119</v>
      </c>
    </row>
    <row r="62" customFormat="false" ht="23.85" hidden="false" customHeight="false" outlineLevel="0" collapsed="false">
      <c r="A62" s="6" t="s">
        <v>282</v>
      </c>
      <c r="B62" s="6" t="s">
        <v>246</v>
      </c>
      <c r="C62" s="6" t="s">
        <v>286</v>
      </c>
      <c r="D62" s="6" t="s">
        <v>29</v>
      </c>
      <c r="E62" s="6" t="s">
        <v>119</v>
      </c>
    </row>
    <row r="63" customFormat="false" ht="23.85" hidden="false" customHeight="false" outlineLevel="0" collapsed="false">
      <c r="A63" s="6" t="s">
        <v>282</v>
      </c>
      <c r="B63" s="6" t="s">
        <v>249</v>
      </c>
      <c r="C63" s="6" t="s">
        <v>287</v>
      </c>
      <c r="D63" s="6" t="s">
        <v>29</v>
      </c>
      <c r="E63" s="6" t="s">
        <v>119</v>
      </c>
    </row>
    <row r="64" customFormat="false" ht="23.85" hidden="false" customHeight="false" outlineLevel="0" collapsed="false">
      <c r="A64" s="6" t="s">
        <v>282</v>
      </c>
      <c r="B64" s="6" t="s">
        <v>252</v>
      </c>
      <c r="C64" s="6" t="s">
        <v>288</v>
      </c>
      <c r="D64" s="6" t="s">
        <v>29</v>
      </c>
      <c r="E64" s="6" t="s">
        <v>119</v>
      </c>
    </row>
    <row r="65" customFormat="false" ht="23.85" hidden="false" customHeight="false" outlineLevel="0" collapsed="false">
      <c r="A65" s="6" t="s">
        <v>282</v>
      </c>
      <c r="B65" s="6" t="s">
        <v>258</v>
      </c>
      <c r="C65" s="6" t="s">
        <v>289</v>
      </c>
      <c r="D65" s="6" t="s">
        <v>29</v>
      </c>
      <c r="E65" s="6" t="s">
        <v>119</v>
      </c>
    </row>
    <row r="66" customFormat="false" ht="23.85" hidden="false" customHeight="false" outlineLevel="0" collapsed="false">
      <c r="A66" s="6" t="s">
        <v>282</v>
      </c>
      <c r="B66" s="6" t="s">
        <v>290</v>
      </c>
      <c r="C66" s="6" t="s">
        <v>291</v>
      </c>
      <c r="D66" s="6" t="s">
        <v>29</v>
      </c>
      <c r="E66" s="6" t="s">
        <v>119</v>
      </c>
    </row>
    <row r="67" customFormat="false" ht="23.85" hidden="false" customHeight="false" outlineLevel="0" collapsed="false">
      <c r="A67" s="6" t="s">
        <v>292</v>
      </c>
      <c r="B67" s="6" t="s">
        <v>240</v>
      </c>
      <c r="C67" s="6" t="s">
        <v>293</v>
      </c>
      <c r="D67" s="6" t="s">
        <v>25</v>
      </c>
      <c r="E67" s="6" t="s">
        <v>119</v>
      </c>
    </row>
    <row r="69" customFormat="false" ht="15" hidden="false" customHeight="false" outlineLevel="0" collapsed="false">
      <c r="A69" s="3" t="s">
        <v>294</v>
      </c>
      <c r="B69" s="4"/>
      <c r="C69" s="4"/>
    </row>
    <row r="70" customFormat="false" ht="26.85" hidden="false" customHeight="false" outlineLevel="0" collapsed="false">
      <c r="A70" s="5" t="s">
        <v>3</v>
      </c>
      <c r="B70" s="5" t="s">
        <v>295</v>
      </c>
      <c r="C70" s="5" t="s">
        <v>296</v>
      </c>
    </row>
    <row r="71" customFormat="false" ht="23.85" hidden="false" customHeight="false" outlineLevel="0" collapsed="false">
      <c r="A71" s="6" t="s">
        <v>173</v>
      </c>
      <c r="B71" s="6" t="s">
        <v>297</v>
      </c>
      <c r="C71" s="6" t="s">
        <v>298</v>
      </c>
    </row>
    <row r="72" customFormat="false" ht="23.85" hidden="false" customHeight="false" outlineLevel="0" collapsed="false">
      <c r="A72" s="6" t="s">
        <v>176</v>
      </c>
      <c r="B72" s="6" t="s">
        <v>299</v>
      </c>
      <c r="C72" s="6" t="s">
        <v>300</v>
      </c>
    </row>
    <row r="73" customFormat="false" ht="35.05" hidden="false" customHeight="false" outlineLevel="0" collapsed="false">
      <c r="A73" s="6" t="s">
        <v>301</v>
      </c>
      <c r="B73" s="6" t="s">
        <v>302</v>
      </c>
      <c r="C73" s="6" t="s">
        <v>303</v>
      </c>
    </row>
    <row r="74" customFormat="false" ht="23.85" hidden="false" customHeight="false" outlineLevel="0" collapsed="false">
      <c r="A74" s="6" t="s">
        <v>185</v>
      </c>
      <c r="B74" s="6" t="s">
        <v>304</v>
      </c>
      <c r="C74" s="6" t="s">
        <v>305</v>
      </c>
    </row>
    <row r="75" customFormat="false" ht="23.85" hidden="false" customHeight="false" outlineLevel="0" collapsed="false">
      <c r="A75" s="6" t="s">
        <v>306</v>
      </c>
      <c r="B75" s="6" t="s">
        <v>307</v>
      </c>
      <c r="C75" s="6" t="s">
        <v>308</v>
      </c>
    </row>
    <row r="76" customFormat="false" ht="23.85" hidden="false" customHeight="false" outlineLevel="0" collapsed="false">
      <c r="A76" s="6" t="s">
        <v>309</v>
      </c>
      <c r="B76" s="6" t="s">
        <v>310</v>
      </c>
      <c r="C76" s="6" t="s">
        <v>311</v>
      </c>
    </row>
    <row r="77" customFormat="false" ht="23.85" hidden="false" customHeight="false" outlineLevel="0" collapsed="false">
      <c r="A77" s="6" t="s">
        <v>200</v>
      </c>
      <c r="B77" s="6" t="s">
        <v>312</v>
      </c>
      <c r="C77" s="6" t="s">
        <v>313</v>
      </c>
    </row>
    <row r="78" customFormat="false" ht="23.85" hidden="false" customHeight="false" outlineLevel="0" collapsed="false">
      <c r="A78" s="6" t="s">
        <v>203</v>
      </c>
      <c r="B78" s="6" t="s">
        <v>314</v>
      </c>
      <c r="C78" s="6" t="s">
        <v>315</v>
      </c>
    </row>
    <row r="79" customFormat="false" ht="23.85" hidden="false" customHeight="false" outlineLevel="0" collapsed="false">
      <c r="A79" s="6" t="s">
        <v>206</v>
      </c>
      <c r="B79" s="6" t="s">
        <v>316</v>
      </c>
      <c r="C79" s="6" t="s">
        <v>317</v>
      </c>
    </row>
    <row r="80" customFormat="false" ht="23.85" hidden="false" customHeight="false" outlineLevel="0" collapsed="false">
      <c r="A80" s="6" t="s">
        <v>209</v>
      </c>
      <c r="B80" s="6" t="s">
        <v>318</v>
      </c>
      <c r="C80" s="6" t="s">
        <v>319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3" topLeftCell="A4" activePane="bottomLeft" state="frozen"/>
      <selection pane="topLeft" activeCell="A1" activeCellId="0" sqref="A1"/>
      <selection pane="bottomLeft" activeCell="B8" activeCellId="0" sqref="B8"/>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85.28"/>
    <col collapsed="false" customWidth="true" hidden="false" outlineLevel="0" max="4" min="4" style="0" width="15.99"/>
    <col collapsed="false" customWidth="true" hidden="false" outlineLevel="0" max="5" min="5" style="0" width="34"/>
  </cols>
  <sheetData>
    <row r="1" customFormat="false" ht="17.35" hidden="false" customHeight="false" outlineLevel="0" collapsed="false">
      <c r="A1" s="1" t="s">
        <v>320</v>
      </c>
    </row>
    <row r="2" customFormat="false" ht="15" hidden="false" customHeight="false" outlineLevel="0" collapsed="false">
      <c r="A2" s="2" t="s">
        <v>321</v>
      </c>
    </row>
    <row r="4" customFormat="false" ht="15" hidden="false" customHeight="false" outlineLevel="0" collapsed="false">
      <c r="A4" s="3" t="s">
        <v>2</v>
      </c>
      <c r="B4" s="4"/>
      <c r="C4" s="4"/>
      <c r="D4" s="4"/>
      <c r="E4" s="4"/>
    </row>
    <row r="5" customFormat="false" ht="15" hidden="false" customHeight="false" outlineLevel="0" collapsed="false">
      <c r="A5" s="5" t="s">
        <v>3</v>
      </c>
      <c r="B5" s="5" t="s">
        <v>4</v>
      </c>
      <c r="C5" s="5" t="s">
        <v>5</v>
      </c>
      <c r="D5" s="5" t="s">
        <v>6</v>
      </c>
      <c r="E5" s="5" t="s">
        <v>7</v>
      </c>
    </row>
    <row r="6" customFormat="false" ht="35.05" hidden="false" customHeight="false" outlineLevel="0" collapsed="false">
      <c r="A6" s="6" t="s">
        <v>322</v>
      </c>
      <c r="B6" s="6" t="s">
        <v>323</v>
      </c>
      <c r="C6" s="6" t="s">
        <v>324</v>
      </c>
      <c r="D6" s="6" t="s">
        <v>11</v>
      </c>
      <c r="E6" s="6" t="s">
        <v>72</v>
      </c>
    </row>
    <row r="7" customFormat="false" ht="46.25" hidden="false" customHeight="false" outlineLevel="0" collapsed="false">
      <c r="A7" s="6" t="s">
        <v>325</v>
      </c>
      <c r="B7" s="6" t="s">
        <v>326</v>
      </c>
      <c r="C7" s="6" t="s">
        <v>327</v>
      </c>
      <c r="D7" s="6" t="s">
        <v>11</v>
      </c>
      <c r="E7" s="6" t="s">
        <v>72</v>
      </c>
    </row>
    <row r="8" customFormat="false" ht="46.25" hidden="false" customHeight="false" outlineLevel="0" collapsed="false">
      <c r="A8" s="6" t="s">
        <v>328</v>
      </c>
      <c r="B8" s="6" t="s">
        <v>329</v>
      </c>
      <c r="C8" s="6" t="s">
        <v>330</v>
      </c>
      <c r="D8" s="6" t="s">
        <v>11</v>
      </c>
      <c r="E8" s="6" t="s">
        <v>72</v>
      </c>
    </row>
    <row r="9" customFormat="false" ht="46.25" hidden="false" customHeight="false" outlineLevel="0" collapsed="false">
      <c r="A9" s="6" t="s">
        <v>331</v>
      </c>
      <c r="B9" s="6" t="s">
        <v>332</v>
      </c>
      <c r="C9" s="6" t="s">
        <v>333</v>
      </c>
      <c r="D9" s="6" t="s">
        <v>11</v>
      </c>
      <c r="E9" s="6" t="s">
        <v>72</v>
      </c>
    </row>
    <row r="10" customFormat="false" ht="23.85" hidden="false" customHeight="false" outlineLevel="0" collapsed="false">
      <c r="A10" s="6" t="s">
        <v>334</v>
      </c>
      <c r="B10" s="6" t="s">
        <v>335</v>
      </c>
      <c r="C10" s="6" t="s">
        <v>336</v>
      </c>
      <c r="D10" s="6" t="s">
        <v>11</v>
      </c>
      <c r="E10" s="6" t="s">
        <v>72</v>
      </c>
    </row>
    <row r="11" customFormat="false" ht="23.85" hidden="false" customHeight="false" outlineLevel="0" collapsed="false">
      <c r="A11" s="6" t="s">
        <v>337</v>
      </c>
      <c r="B11" s="6" t="s">
        <v>338</v>
      </c>
      <c r="C11" s="6" t="s">
        <v>339</v>
      </c>
      <c r="D11" s="6" t="s">
        <v>11</v>
      </c>
      <c r="E11" s="6" t="s">
        <v>72</v>
      </c>
    </row>
    <row r="13" customFormat="false" ht="15" hidden="false" customHeight="false" outlineLevel="0" collapsed="false">
      <c r="A13" s="3" t="s">
        <v>21</v>
      </c>
      <c r="B13" s="4"/>
      <c r="C13" s="4"/>
      <c r="D13" s="4"/>
      <c r="E13" s="4"/>
    </row>
    <row r="14" customFormat="false" ht="15" hidden="false" customHeight="false" outlineLevel="0" collapsed="false">
      <c r="A14" s="5" t="s">
        <v>3</v>
      </c>
      <c r="B14" s="5" t="s">
        <v>4</v>
      </c>
      <c r="C14" s="5" t="s">
        <v>5</v>
      </c>
      <c r="D14" s="5" t="s">
        <v>6</v>
      </c>
      <c r="E14" s="5" t="s">
        <v>7</v>
      </c>
    </row>
    <row r="15" customFormat="false" ht="35.05" hidden="false" customHeight="false" outlineLevel="0" collapsed="false">
      <c r="A15" s="6" t="s">
        <v>340</v>
      </c>
      <c r="B15" s="6" t="s">
        <v>341</v>
      </c>
      <c r="C15" s="6" t="s">
        <v>342</v>
      </c>
      <c r="D15" s="6" t="s">
        <v>25</v>
      </c>
      <c r="E15" s="6" t="s">
        <v>119</v>
      </c>
    </row>
    <row r="16" customFormat="false" ht="46.25" hidden="false" customHeight="false" outlineLevel="0" collapsed="false">
      <c r="A16" s="6" t="s">
        <v>343</v>
      </c>
      <c r="B16" s="6" t="s">
        <v>344</v>
      </c>
      <c r="C16" s="6" t="s">
        <v>345</v>
      </c>
      <c r="D16" s="6" t="s">
        <v>25</v>
      </c>
      <c r="E16" s="6" t="s">
        <v>119</v>
      </c>
    </row>
    <row r="17" customFormat="false" ht="68.65" hidden="false" customHeight="false" outlineLevel="0" collapsed="false">
      <c r="A17" s="6" t="s">
        <v>346</v>
      </c>
      <c r="B17" s="6" t="s">
        <v>347</v>
      </c>
      <c r="C17" s="6" t="s">
        <v>348</v>
      </c>
      <c r="D17" s="6" t="s">
        <v>25</v>
      </c>
      <c r="E17" s="6" t="s">
        <v>119</v>
      </c>
    </row>
    <row r="18" customFormat="false" ht="46.25" hidden="false" customHeight="false" outlineLevel="0" collapsed="false">
      <c r="A18" s="6" t="s">
        <v>349</v>
      </c>
      <c r="B18" s="6" t="s">
        <v>350</v>
      </c>
      <c r="C18" s="6" t="s">
        <v>351</v>
      </c>
      <c r="D18" s="6" t="s">
        <v>11</v>
      </c>
      <c r="E18" s="6" t="s">
        <v>111</v>
      </c>
    </row>
    <row r="19" customFormat="false" ht="35.05" hidden="false" customHeight="false" outlineLevel="0" collapsed="false">
      <c r="A19" s="6" t="s">
        <v>352</v>
      </c>
      <c r="B19" s="6" t="s">
        <v>353</v>
      </c>
      <c r="C19" s="6" t="s">
        <v>354</v>
      </c>
      <c r="D19" s="6" t="s">
        <v>25</v>
      </c>
      <c r="E19" s="6" t="s">
        <v>119</v>
      </c>
    </row>
    <row r="21" customFormat="false" ht="15" hidden="false" customHeight="false" outlineLevel="0" collapsed="false">
      <c r="A21" s="3" t="s">
        <v>30</v>
      </c>
      <c r="B21" s="4"/>
      <c r="C21" s="4"/>
      <c r="D21" s="4"/>
      <c r="E21" s="4"/>
    </row>
    <row r="22" customFormat="false" ht="15" hidden="false" customHeight="false" outlineLevel="0" collapsed="false">
      <c r="A22" s="5" t="s">
        <v>3</v>
      </c>
      <c r="B22" s="5" t="s">
        <v>4</v>
      </c>
      <c r="C22" s="5" t="s">
        <v>5</v>
      </c>
      <c r="D22" s="5" t="s">
        <v>6</v>
      </c>
      <c r="E22" s="5" t="s">
        <v>7</v>
      </c>
    </row>
    <row r="23" customFormat="false" ht="15" hidden="false" customHeight="false" outlineLevel="0" collapsed="false">
      <c r="A23" s="6" t="s">
        <v>355</v>
      </c>
      <c r="B23" s="6" t="s">
        <v>356</v>
      </c>
      <c r="C23" s="6" t="s">
        <v>357</v>
      </c>
      <c r="D23" s="6" t="s">
        <v>29</v>
      </c>
      <c r="E23" s="6" t="s">
        <v>119</v>
      </c>
    </row>
    <row r="24" customFormat="false" ht="23.85" hidden="false" customHeight="false" outlineLevel="0" collapsed="false">
      <c r="A24" s="6" t="s">
        <v>358</v>
      </c>
      <c r="B24" s="6" t="s">
        <v>359</v>
      </c>
      <c r="C24" s="6" t="s">
        <v>360</v>
      </c>
      <c r="D24" s="6" t="s">
        <v>29</v>
      </c>
      <c r="E24" s="6" t="s">
        <v>119</v>
      </c>
    </row>
    <row r="25" customFormat="false" ht="23.85" hidden="false" customHeight="false" outlineLevel="0" collapsed="false">
      <c r="A25" s="6" t="s">
        <v>361</v>
      </c>
      <c r="B25" s="6" t="s">
        <v>362</v>
      </c>
      <c r="C25" s="6" t="s">
        <v>363</v>
      </c>
      <c r="D25" s="6" t="s">
        <v>29</v>
      </c>
      <c r="E25" s="6" t="s">
        <v>119</v>
      </c>
    </row>
    <row r="27" customFormat="false" ht="15" hidden="false" customHeight="false" outlineLevel="0" collapsed="false">
      <c r="A27" s="3" t="s">
        <v>34</v>
      </c>
      <c r="B27" s="4"/>
      <c r="C27" s="4"/>
      <c r="D27" s="4"/>
      <c r="E27" s="4"/>
    </row>
    <row r="28" customFormat="false" ht="15" hidden="false" customHeight="false" outlineLevel="0" collapsed="false">
      <c r="A28" s="5" t="s">
        <v>3</v>
      </c>
      <c r="B28" s="5" t="s">
        <v>4</v>
      </c>
      <c r="C28" s="5" t="s">
        <v>5</v>
      </c>
      <c r="D28" s="5" t="s">
        <v>6</v>
      </c>
      <c r="E28" s="5" t="s">
        <v>7</v>
      </c>
    </row>
    <row r="29" customFormat="false" ht="35.05" hidden="false" customHeight="false" outlineLevel="0" collapsed="false">
      <c r="A29" s="6" t="s">
        <v>364</v>
      </c>
      <c r="B29" s="6" t="s">
        <v>365</v>
      </c>
      <c r="C29" s="6" t="s">
        <v>133</v>
      </c>
      <c r="D29" s="6" t="s">
        <v>29</v>
      </c>
      <c r="E29" s="6" t="s">
        <v>119</v>
      </c>
    </row>
    <row r="30" customFormat="false" ht="23.85" hidden="false" customHeight="false" outlineLevel="0" collapsed="false">
      <c r="A30" s="6" t="s">
        <v>366</v>
      </c>
      <c r="B30" s="6" t="s">
        <v>367</v>
      </c>
      <c r="C30" s="6" t="s">
        <v>368</v>
      </c>
      <c r="D30" s="6" t="s">
        <v>29</v>
      </c>
      <c r="E30" s="6" t="s">
        <v>119</v>
      </c>
    </row>
    <row r="31" customFormat="false" ht="46.25" hidden="false" customHeight="false" outlineLevel="0" collapsed="false">
      <c r="A31" s="6" t="s">
        <v>369</v>
      </c>
      <c r="B31" s="6" t="s">
        <v>370</v>
      </c>
      <c r="C31" s="6" t="s">
        <v>371</v>
      </c>
      <c r="D31" s="6" t="s">
        <v>25</v>
      </c>
      <c r="E31" s="6" t="s">
        <v>119</v>
      </c>
    </row>
    <row r="32" customFormat="false" ht="46.25" hidden="false" customHeight="false" outlineLevel="0" collapsed="false">
      <c r="A32" s="6" t="s">
        <v>372</v>
      </c>
      <c r="B32" s="6" t="s">
        <v>373</v>
      </c>
      <c r="C32" s="6" t="s">
        <v>374</v>
      </c>
      <c r="D32" s="6" t="s">
        <v>25</v>
      </c>
      <c r="E32" s="6" t="s">
        <v>119</v>
      </c>
    </row>
    <row r="33" customFormat="false" ht="23.85" hidden="false" customHeight="false" outlineLevel="0" collapsed="false">
      <c r="A33" s="6" t="s">
        <v>375</v>
      </c>
      <c r="B33" s="6" t="s">
        <v>376</v>
      </c>
      <c r="C33" s="6" t="s">
        <v>377</v>
      </c>
      <c r="D33" s="6" t="s">
        <v>29</v>
      </c>
      <c r="E33" s="6" t="s">
        <v>119</v>
      </c>
    </row>
    <row r="34" customFormat="false" ht="35.05" hidden="false" customHeight="false" outlineLevel="0" collapsed="false">
      <c r="A34" s="6" t="s">
        <v>378</v>
      </c>
      <c r="B34" s="6" t="s">
        <v>379</v>
      </c>
      <c r="C34" s="6" t="s">
        <v>380</v>
      </c>
      <c r="D34" s="6" t="s">
        <v>29</v>
      </c>
      <c r="E34" s="6" t="s">
        <v>119</v>
      </c>
    </row>
    <row r="35" customFormat="false" ht="35.05" hidden="false" customHeight="false" outlineLevel="0" collapsed="false">
      <c r="A35" s="6" t="s">
        <v>381</v>
      </c>
      <c r="B35" s="6" t="s">
        <v>382</v>
      </c>
      <c r="C35" s="6" t="s">
        <v>383</v>
      </c>
      <c r="D35" s="6" t="s">
        <v>25</v>
      </c>
      <c r="E35" s="6" t="s">
        <v>119</v>
      </c>
    </row>
    <row r="37" customFormat="false" ht="15" hidden="false" customHeight="false" outlineLevel="0" collapsed="false">
      <c r="A37" s="3" t="s">
        <v>149</v>
      </c>
      <c r="B37" s="4"/>
      <c r="C37" s="4"/>
      <c r="D37" s="4"/>
      <c r="E37" s="4"/>
    </row>
    <row r="38" customFormat="false" ht="15" hidden="false" customHeight="false" outlineLevel="0" collapsed="false">
      <c r="A38" s="5" t="s">
        <v>39</v>
      </c>
      <c r="B38" s="5" t="s">
        <v>3</v>
      </c>
      <c r="C38" s="5" t="s">
        <v>40</v>
      </c>
      <c r="D38" s="5" t="s">
        <v>6</v>
      </c>
      <c r="E38" s="5" t="s">
        <v>7</v>
      </c>
    </row>
    <row r="39" customFormat="false" ht="23.85" hidden="false" customHeight="false" outlineLevel="0" collapsed="false">
      <c r="A39" s="6" t="s">
        <v>150</v>
      </c>
      <c r="B39" s="6" t="s">
        <v>343</v>
      </c>
      <c r="C39" s="6" t="s">
        <v>384</v>
      </c>
      <c r="D39" s="6" t="s">
        <v>25</v>
      </c>
      <c r="E39" s="6" t="s">
        <v>119</v>
      </c>
    </row>
    <row r="40" customFormat="false" ht="15" hidden="false" customHeight="false" outlineLevel="0" collapsed="false">
      <c r="A40" s="6" t="s">
        <v>150</v>
      </c>
      <c r="B40" s="6" t="s">
        <v>346</v>
      </c>
      <c r="C40" s="6" t="s">
        <v>385</v>
      </c>
      <c r="D40" s="6" t="s">
        <v>25</v>
      </c>
      <c r="E40" s="6" t="s">
        <v>119</v>
      </c>
    </row>
    <row r="41" customFormat="false" ht="15" hidden="false" customHeight="false" outlineLevel="0" collapsed="false">
      <c r="A41" s="6" t="s">
        <v>150</v>
      </c>
      <c r="B41" s="6" t="s">
        <v>349</v>
      </c>
      <c r="C41" s="6" t="s">
        <v>386</v>
      </c>
      <c r="D41" s="6" t="s">
        <v>11</v>
      </c>
      <c r="E41" s="6" t="s">
        <v>153</v>
      </c>
    </row>
    <row r="42" customFormat="false" ht="15" hidden="false" customHeight="false" outlineLevel="0" collapsed="false">
      <c r="A42" s="6" t="s">
        <v>41</v>
      </c>
      <c r="B42" s="6" t="s">
        <v>340</v>
      </c>
      <c r="C42" s="6" t="s">
        <v>387</v>
      </c>
      <c r="D42" s="6" t="s">
        <v>25</v>
      </c>
      <c r="E42" s="6" t="s">
        <v>119</v>
      </c>
    </row>
    <row r="43" customFormat="false" ht="15" hidden="false" customHeight="false" outlineLevel="0" collapsed="false">
      <c r="A43" s="6" t="s">
        <v>41</v>
      </c>
      <c r="B43" s="6" t="s">
        <v>352</v>
      </c>
      <c r="C43" s="6" t="s">
        <v>388</v>
      </c>
      <c r="D43" s="6" t="s">
        <v>25</v>
      </c>
      <c r="E43" s="6" t="s">
        <v>119</v>
      </c>
    </row>
    <row r="44" customFormat="false" ht="15" hidden="false" customHeight="false" outlineLevel="0" collapsed="false">
      <c r="A44" s="6" t="s">
        <v>46</v>
      </c>
      <c r="B44" s="6" t="s">
        <v>355</v>
      </c>
      <c r="C44" s="6" t="s">
        <v>281</v>
      </c>
      <c r="D44" s="6" t="s">
        <v>29</v>
      </c>
      <c r="E44" s="6" t="s">
        <v>119</v>
      </c>
    </row>
    <row r="45" customFormat="false" ht="15" hidden="false" customHeight="false" outlineLevel="0" collapsed="false">
      <c r="A45" s="6" t="s">
        <v>46</v>
      </c>
      <c r="B45" s="6" t="s">
        <v>358</v>
      </c>
      <c r="C45" s="6" t="s">
        <v>389</v>
      </c>
      <c r="D45" s="6" t="s">
        <v>29</v>
      </c>
      <c r="E45" s="6" t="s">
        <v>119</v>
      </c>
    </row>
    <row r="46" customFormat="false" ht="15" hidden="false" customHeight="false" outlineLevel="0" collapsed="false">
      <c r="A46" s="6" t="s">
        <v>46</v>
      </c>
      <c r="B46" s="6" t="s">
        <v>361</v>
      </c>
      <c r="C46" s="6" t="s">
        <v>390</v>
      </c>
      <c r="D46" s="6" t="s">
        <v>29</v>
      </c>
      <c r="E46" s="6" t="s">
        <v>119</v>
      </c>
    </row>
    <row r="47" customFormat="false" ht="15" hidden="false" customHeight="false" outlineLevel="0" collapsed="false">
      <c r="A47" s="6" t="s">
        <v>46</v>
      </c>
      <c r="B47" s="6" t="s">
        <v>381</v>
      </c>
      <c r="C47" s="6" t="s">
        <v>391</v>
      </c>
      <c r="D47" s="6" t="s">
        <v>25</v>
      </c>
      <c r="E47" s="6" t="s">
        <v>119</v>
      </c>
    </row>
    <row r="48" customFormat="false" ht="15" hidden="false" customHeight="false" outlineLevel="0" collapsed="false">
      <c r="A48" s="6" t="s">
        <v>162</v>
      </c>
      <c r="B48" s="6" t="s">
        <v>364</v>
      </c>
      <c r="C48" s="6" t="s">
        <v>392</v>
      </c>
      <c r="D48" s="6" t="s">
        <v>29</v>
      </c>
      <c r="E48" s="6" t="s">
        <v>119</v>
      </c>
    </row>
    <row r="49" customFormat="false" ht="15" hidden="false" customHeight="false" outlineLevel="0" collapsed="false">
      <c r="A49" s="6" t="s">
        <v>162</v>
      </c>
      <c r="B49" s="6" t="s">
        <v>366</v>
      </c>
      <c r="C49" s="6" t="s">
        <v>393</v>
      </c>
      <c r="D49" s="6" t="s">
        <v>29</v>
      </c>
      <c r="E49" s="6" t="s">
        <v>119</v>
      </c>
    </row>
    <row r="50" customFormat="false" ht="15" hidden="false" customHeight="false" outlineLevel="0" collapsed="false">
      <c r="A50" s="6" t="s">
        <v>162</v>
      </c>
      <c r="B50" s="6" t="s">
        <v>372</v>
      </c>
      <c r="C50" s="6" t="s">
        <v>394</v>
      </c>
      <c r="D50" s="6" t="s">
        <v>25</v>
      </c>
      <c r="E50" s="6" t="s">
        <v>119</v>
      </c>
    </row>
    <row r="51" customFormat="false" ht="15" hidden="false" customHeight="false" outlineLevel="0" collapsed="false">
      <c r="A51" s="6" t="s">
        <v>162</v>
      </c>
      <c r="B51" s="6" t="s">
        <v>375</v>
      </c>
      <c r="C51" s="6" t="s">
        <v>395</v>
      </c>
      <c r="D51" s="6" t="s">
        <v>29</v>
      </c>
      <c r="E51" s="6" t="s">
        <v>119</v>
      </c>
    </row>
    <row r="52" customFormat="false" ht="15" hidden="false" customHeight="false" outlineLevel="0" collapsed="false">
      <c r="A52" s="6" t="s">
        <v>48</v>
      </c>
      <c r="B52" s="6" t="s">
        <v>369</v>
      </c>
      <c r="C52" s="6" t="s">
        <v>396</v>
      </c>
      <c r="D52" s="6" t="s">
        <v>25</v>
      </c>
      <c r="E52" s="6" t="s">
        <v>119</v>
      </c>
    </row>
    <row r="53" customFormat="false" ht="15" hidden="false" customHeight="false" outlineLevel="0" collapsed="false">
      <c r="A53" s="6" t="s">
        <v>48</v>
      </c>
      <c r="B53" s="6" t="s">
        <v>378</v>
      </c>
      <c r="C53" s="6" t="s">
        <v>397</v>
      </c>
      <c r="D53" s="6" t="s">
        <v>29</v>
      </c>
      <c r="E53" s="6" t="s">
        <v>119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3" topLeftCell="A16" activePane="bottomLeft" state="frozen"/>
      <selection pane="topLeft" activeCell="A1" activeCellId="0" sqref="A1"/>
      <selection pane="bottomLeft" activeCell="A18" activeCellId="0" sqref="A18"/>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6.11"/>
    <col collapsed="false" customWidth="true" hidden="false" outlineLevel="0" max="3" min="3" style="0" width="71.79"/>
    <col collapsed="false" customWidth="true" hidden="false" outlineLevel="0" max="4" min="4" style="0" width="26"/>
    <col collapsed="false" customWidth="true" hidden="false" outlineLevel="0" max="5" min="5" style="0" width="21.43"/>
    <col collapsed="false" customWidth="true" hidden="false" outlineLevel="0" max="6" min="6" style="0" width="34"/>
  </cols>
  <sheetData>
    <row r="1" customFormat="false" ht="17.35" hidden="false" customHeight="false" outlineLevel="0" collapsed="false">
      <c r="A1" s="1" t="s">
        <v>398</v>
      </c>
    </row>
    <row r="2" customFormat="false" ht="15" hidden="false" customHeight="false" outlineLevel="0" collapsed="false">
      <c r="A2" s="2" t="s">
        <v>399</v>
      </c>
    </row>
    <row r="4" customFormat="false" ht="15" hidden="false" customHeight="false" outlineLevel="0" collapsed="false">
      <c r="A4" s="3" t="s">
        <v>400</v>
      </c>
      <c r="B4" s="4"/>
      <c r="C4" s="4"/>
      <c r="D4" s="4"/>
      <c r="E4" s="4"/>
      <c r="F4" s="4"/>
    </row>
    <row r="5" customFormat="false" ht="15" hidden="false" customHeight="false" outlineLevel="0" collapsed="false">
      <c r="A5" s="5" t="s">
        <v>3</v>
      </c>
      <c r="B5" s="5" t="s">
        <v>4</v>
      </c>
      <c r="C5" s="5" t="s">
        <v>5</v>
      </c>
      <c r="D5" s="5" t="s">
        <v>401</v>
      </c>
      <c r="E5" s="5" t="s">
        <v>402</v>
      </c>
      <c r="F5" s="5" t="s">
        <v>7</v>
      </c>
    </row>
    <row r="6" customFormat="false" ht="57.45" hidden="false" customHeight="false" outlineLevel="0" collapsed="false">
      <c r="A6" s="6" t="s">
        <v>403</v>
      </c>
      <c r="B6" s="6" t="s">
        <v>404</v>
      </c>
      <c r="C6" s="6" t="s">
        <v>405</v>
      </c>
      <c r="D6" s="6" t="s">
        <v>406</v>
      </c>
      <c r="E6" s="6" t="s">
        <v>11</v>
      </c>
      <c r="F6" s="6" t="s">
        <v>72</v>
      </c>
    </row>
    <row r="7" customFormat="false" ht="68.65" hidden="false" customHeight="false" outlineLevel="0" collapsed="false">
      <c r="A7" s="6" t="s">
        <v>407</v>
      </c>
      <c r="B7" s="6" t="s">
        <v>408</v>
      </c>
      <c r="C7" s="6" t="s">
        <v>409</v>
      </c>
      <c r="D7" s="6" t="s">
        <v>410</v>
      </c>
      <c r="E7" s="6" t="s">
        <v>11</v>
      </c>
      <c r="F7" s="6" t="s">
        <v>72</v>
      </c>
    </row>
    <row r="8" customFormat="false" ht="46.25" hidden="false" customHeight="false" outlineLevel="0" collapsed="false">
      <c r="A8" s="6" t="s">
        <v>411</v>
      </c>
      <c r="B8" s="6" t="s">
        <v>412</v>
      </c>
      <c r="C8" s="6" t="s">
        <v>413</v>
      </c>
      <c r="D8" s="6" t="s">
        <v>414</v>
      </c>
      <c r="E8" s="6" t="s">
        <v>11</v>
      </c>
      <c r="F8" s="6" t="s">
        <v>72</v>
      </c>
    </row>
    <row r="9" customFormat="false" ht="57.45" hidden="false" customHeight="false" outlineLevel="0" collapsed="false">
      <c r="A9" s="6" t="s">
        <v>415</v>
      </c>
      <c r="B9" s="6" t="s">
        <v>416</v>
      </c>
      <c r="C9" s="6" t="s">
        <v>417</v>
      </c>
      <c r="D9" s="6" t="s">
        <v>410</v>
      </c>
      <c r="E9" s="6" t="s">
        <v>11</v>
      </c>
      <c r="F9" s="6" t="s">
        <v>72</v>
      </c>
    </row>
    <row r="10" customFormat="false" ht="46.25" hidden="false" customHeight="false" outlineLevel="0" collapsed="false">
      <c r="A10" s="6" t="s">
        <v>418</v>
      </c>
      <c r="B10" s="6" t="s">
        <v>419</v>
      </c>
      <c r="C10" s="6" t="s">
        <v>420</v>
      </c>
      <c r="D10" s="6" t="s">
        <v>421</v>
      </c>
      <c r="E10" s="6" t="s">
        <v>422</v>
      </c>
      <c r="F10" s="6" t="s">
        <v>72</v>
      </c>
    </row>
    <row r="11" customFormat="false" ht="68.65" hidden="false" customHeight="false" outlineLevel="0" collapsed="false">
      <c r="A11" s="6" t="s">
        <v>423</v>
      </c>
      <c r="B11" s="6" t="s">
        <v>424</v>
      </c>
      <c r="C11" s="6" t="s">
        <v>425</v>
      </c>
      <c r="D11" s="6" t="s">
        <v>426</v>
      </c>
      <c r="E11" s="6" t="s">
        <v>427</v>
      </c>
      <c r="F11" s="6" t="s">
        <v>72</v>
      </c>
    </row>
    <row r="12" customFormat="false" ht="57.45" hidden="false" customHeight="false" outlineLevel="0" collapsed="false">
      <c r="A12" s="6" t="s">
        <v>428</v>
      </c>
      <c r="B12" s="6" t="s">
        <v>429</v>
      </c>
      <c r="C12" s="6" t="s">
        <v>430</v>
      </c>
      <c r="D12" s="6" t="s">
        <v>431</v>
      </c>
      <c r="E12" s="6" t="s">
        <v>11</v>
      </c>
      <c r="F12" s="6" t="s">
        <v>72</v>
      </c>
    </row>
    <row r="13" customFormat="false" ht="46.25" hidden="false" customHeight="false" outlineLevel="0" collapsed="false">
      <c r="A13" s="6" t="s">
        <v>432</v>
      </c>
      <c r="B13" s="6" t="s">
        <v>433</v>
      </c>
      <c r="C13" s="6" t="s">
        <v>434</v>
      </c>
      <c r="D13" s="6" t="s">
        <v>410</v>
      </c>
      <c r="E13" s="6" t="s">
        <v>25</v>
      </c>
      <c r="F13" s="6" t="s">
        <v>72</v>
      </c>
    </row>
    <row r="15" customFormat="false" ht="15" hidden="false" customHeight="false" outlineLevel="0" collapsed="false">
      <c r="A15" s="3" t="s">
        <v>21</v>
      </c>
      <c r="B15" s="4"/>
      <c r="C15" s="4"/>
      <c r="D15" s="4"/>
      <c r="E15" s="4"/>
    </row>
    <row r="16" customFormat="false" ht="15" hidden="false" customHeight="false" outlineLevel="0" collapsed="false">
      <c r="A16" s="5" t="s">
        <v>3</v>
      </c>
      <c r="B16" s="5" t="s">
        <v>4</v>
      </c>
      <c r="C16" s="5" t="s">
        <v>5</v>
      </c>
      <c r="D16" s="5" t="s">
        <v>6</v>
      </c>
      <c r="E16" s="5" t="s">
        <v>7</v>
      </c>
    </row>
    <row r="17" customFormat="false" ht="57.45" hidden="false" customHeight="false" outlineLevel="0" collapsed="false">
      <c r="A17" s="6" t="s">
        <v>435</v>
      </c>
      <c r="B17" s="6" t="s">
        <v>436</v>
      </c>
      <c r="C17" s="6" t="s">
        <v>437</v>
      </c>
      <c r="D17" s="6" t="s">
        <v>11</v>
      </c>
      <c r="E17" s="6" t="s">
        <v>215</v>
      </c>
    </row>
    <row r="18" customFormat="false" ht="35.05" hidden="false" customHeight="false" outlineLevel="0" collapsed="false">
      <c r="A18" s="6" t="s">
        <v>438</v>
      </c>
      <c r="B18" s="6" t="s">
        <v>439</v>
      </c>
      <c r="C18" s="6" t="s">
        <v>440</v>
      </c>
      <c r="D18" s="6" t="s">
        <v>25</v>
      </c>
      <c r="E18" s="6" t="s">
        <v>119</v>
      </c>
    </row>
    <row r="19" customFormat="false" ht="35.05" hidden="false" customHeight="false" outlineLevel="0" collapsed="false">
      <c r="A19" s="6" t="s">
        <v>441</v>
      </c>
      <c r="B19" s="6" t="s">
        <v>442</v>
      </c>
      <c r="C19" s="6" t="s">
        <v>443</v>
      </c>
      <c r="D19" s="6" t="s">
        <v>29</v>
      </c>
      <c r="E19" s="6" t="s">
        <v>119</v>
      </c>
    </row>
    <row r="20" customFormat="false" ht="35.05" hidden="false" customHeight="false" outlineLevel="0" collapsed="false">
      <c r="A20" s="6" t="s">
        <v>444</v>
      </c>
      <c r="B20" s="6" t="s">
        <v>445</v>
      </c>
      <c r="C20" s="6" t="s">
        <v>446</v>
      </c>
      <c r="D20" s="6" t="s">
        <v>29</v>
      </c>
      <c r="E20" s="6" t="s">
        <v>119</v>
      </c>
    </row>
    <row r="21" customFormat="false" ht="46.25" hidden="false" customHeight="false" outlineLevel="0" collapsed="false">
      <c r="A21" s="6" t="s">
        <v>447</v>
      </c>
      <c r="B21" s="6" t="s">
        <v>448</v>
      </c>
      <c r="C21" s="6" t="s">
        <v>449</v>
      </c>
      <c r="D21" s="6" t="s">
        <v>11</v>
      </c>
      <c r="E21" s="6" t="s">
        <v>72</v>
      </c>
    </row>
    <row r="22" customFormat="false" ht="46.25" hidden="false" customHeight="false" outlineLevel="0" collapsed="false">
      <c r="A22" s="6" t="s">
        <v>450</v>
      </c>
      <c r="B22" s="6" t="s">
        <v>451</v>
      </c>
      <c r="C22" s="6" t="s">
        <v>452</v>
      </c>
      <c r="D22" s="6" t="s">
        <v>29</v>
      </c>
      <c r="E22" s="6" t="s">
        <v>119</v>
      </c>
    </row>
    <row r="23" customFormat="false" ht="46.25" hidden="false" customHeight="false" outlineLevel="0" collapsed="false">
      <c r="A23" s="6" t="s">
        <v>453</v>
      </c>
      <c r="B23" s="6" t="s">
        <v>454</v>
      </c>
      <c r="C23" s="6" t="s">
        <v>455</v>
      </c>
      <c r="D23" s="6" t="s">
        <v>25</v>
      </c>
      <c r="E23" s="6" t="s">
        <v>119</v>
      </c>
    </row>
    <row r="25" customFormat="false" ht="15" hidden="false" customHeight="false" outlineLevel="0" collapsed="false">
      <c r="A25" s="3" t="s">
        <v>30</v>
      </c>
      <c r="B25" s="4"/>
      <c r="C25" s="4"/>
      <c r="D25" s="4"/>
      <c r="E25" s="4"/>
    </row>
    <row r="26" customFormat="false" ht="15" hidden="false" customHeight="false" outlineLevel="0" collapsed="false">
      <c r="A26" s="5" t="s">
        <v>3</v>
      </c>
      <c r="B26" s="5" t="s">
        <v>4</v>
      </c>
      <c r="C26" s="5" t="s">
        <v>5</v>
      </c>
      <c r="D26" s="5" t="s">
        <v>6</v>
      </c>
      <c r="E26" s="5" t="s">
        <v>7</v>
      </c>
    </row>
    <row r="27" customFormat="false" ht="23.85" hidden="false" customHeight="false" outlineLevel="0" collapsed="false">
      <c r="A27" s="6" t="s">
        <v>456</v>
      </c>
      <c r="B27" s="6" t="s">
        <v>457</v>
      </c>
      <c r="C27" s="6" t="s">
        <v>458</v>
      </c>
      <c r="D27" s="6" t="s">
        <v>29</v>
      </c>
      <c r="E27" s="6" t="s">
        <v>119</v>
      </c>
    </row>
    <row r="28" customFormat="false" ht="35.05" hidden="false" customHeight="false" outlineLevel="0" collapsed="false">
      <c r="A28" s="6" t="s">
        <v>459</v>
      </c>
      <c r="B28" s="6" t="s">
        <v>460</v>
      </c>
      <c r="C28" s="6" t="s">
        <v>461</v>
      </c>
      <c r="D28" s="6" t="s">
        <v>29</v>
      </c>
      <c r="E28" s="6" t="s">
        <v>462</v>
      </c>
    </row>
    <row r="29" customFormat="false" ht="35.05" hidden="false" customHeight="false" outlineLevel="0" collapsed="false">
      <c r="A29" s="6" t="s">
        <v>463</v>
      </c>
      <c r="B29" s="6" t="s">
        <v>464</v>
      </c>
      <c r="C29" s="6" t="s">
        <v>465</v>
      </c>
      <c r="D29" s="6" t="s">
        <v>25</v>
      </c>
      <c r="E29" s="6" t="s">
        <v>119</v>
      </c>
    </row>
    <row r="30" customFormat="false" ht="23.85" hidden="false" customHeight="false" outlineLevel="0" collapsed="false">
      <c r="A30" s="6" t="s">
        <v>466</v>
      </c>
      <c r="B30" s="6" t="s">
        <v>467</v>
      </c>
      <c r="C30" s="6" t="s">
        <v>468</v>
      </c>
      <c r="D30" s="6" t="s">
        <v>29</v>
      </c>
      <c r="E30" s="6" t="s">
        <v>119</v>
      </c>
    </row>
    <row r="31" customFormat="false" ht="23.85" hidden="false" customHeight="false" outlineLevel="0" collapsed="false">
      <c r="A31" s="6" t="s">
        <v>469</v>
      </c>
      <c r="B31" s="6" t="s">
        <v>470</v>
      </c>
      <c r="C31" s="6" t="s">
        <v>471</v>
      </c>
      <c r="D31" s="6" t="s">
        <v>29</v>
      </c>
      <c r="E31" s="6" t="s">
        <v>119</v>
      </c>
    </row>
    <row r="33" customFormat="false" ht="15" hidden="false" customHeight="false" outlineLevel="0" collapsed="false">
      <c r="A33" s="3" t="s">
        <v>34</v>
      </c>
      <c r="B33" s="4"/>
      <c r="C33" s="4"/>
      <c r="D33" s="4"/>
      <c r="E33" s="4"/>
    </row>
    <row r="34" customFormat="false" ht="15" hidden="false" customHeight="false" outlineLevel="0" collapsed="false">
      <c r="A34" s="5" t="s">
        <v>3</v>
      </c>
      <c r="B34" s="5" t="s">
        <v>4</v>
      </c>
      <c r="C34" s="5" t="s">
        <v>5</v>
      </c>
      <c r="D34" s="5" t="s">
        <v>6</v>
      </c>
      <c r="E34" s="5" t="s">
        <v>7</v>
      </c>
    </row>
    <row r="35" customFormat="false" ht="46.25" hidden="false" customHeight="false" outlineLevel="0" collapsed="false">
      <c r="A35" s="6" t="s">
        <v>472</v>
      </c>
      <c r="B35" s="6" t="s">
        <v>473</v>
      </c>
      <c r="C35" s="6" t="s">
        <v>474</v>
      </c>
      <c r="D35" s="6" t="s">
        <v>11</v>
      </c>
      <c r="E35" s="6" t="s">
        <v>475</v>
      </c>
    </row>
    <row r="36" customFormat="false" ht="57.45" hidden="false" customHeight="false" outlineLevel="0" collapsed="false">
      <c r="A36" s="6" t="s">
        <v>476</v>
      </c>
      <c r="B36" s="6" t="s">
        <v>477</v>
      </c>
      <c r="C36" s="6" t="s">
        <v>478</v>
      </c>
      <c r="D36" s="6" t="s">
        <v>29</v>
      </c>
      <c r="E36" s="6" t="s">
        <v>119</v>
      </c>
    </row>
    <row r="37" customFormat="false" ht="68.65" hidden="false" customHeight="false" outlineLevel="0" collapsed="false">
      <c r="A37" s="6" t="s">
        <v>479</v>
      </c>
      <c r="B37" s="6" t="s">
        <v>480</v>
      </c>
      <c r="C37" s="6" t="s">
        <v>481</v>
      </c>
      <c r="D37" s="6" t="s">
        <v>25</v>
      </c>
      <c r="E37" s="6" t="s">
        <v>119</v>
      </c>
    </row>
    <row r="38" customFormat="false" ht="35.05" hidden="false" customHeight="false" outlineLevel="0" collapsed="false">
      <c r="A38" s="6" t="s">
        <v>482</v>
      </c>
      <c r="B38" s="6" t="s">
        <v>483</v>
      </c>
      <c r="C38" s="6" t="s">
        <v>484</v>
      </c>
      <c r="D38" s="6" t="s">
        <v>29</v>
      </c>
      <c r="E38" s="6" t="s">
        <v>119</v>
      </c>
    </row>
    <row r="39" customFormat="false" ht="46.25" hidden="false" customHeight="false" outlineLevel="0" collapsed="false">
      <c r="A39" s="6" t="s">
        <v>485</v>
      </c>
      <c r="B39" s="6" t="s">
        <v>486</v>
      </c>
      <c r="C39" s="6" t="s">
        <v>487</v>
      </c>
      <c r="D39" s="6" t="s">
        <v>29</v>
      </c>
      <c r="E39" s="6" t="s">
        <v>119</v>
      </c>
    </row>
    <row r="40" customFormat="false" ht="35.05" hidden="false" customHeight="false" outlineLevel="0" collapsed="false">
      <c r="A40" s="6" t="s">
        <v>488</v>
      </c>
      <c r="B40" s="6" t="s">
        <v>489</v>
      </c>
      <c r="C40" s="6" t="s">
        <v>490</v>
      </c>
      <c r="D40" s="6" t="s">
        <v>29</v>
      </c>
      <c r="E40" s="6" t="s">
        <v>119</v>
      </c>
    </row>
    <row r="41" customFormat="false" ht="23.85" hidden="false" customHeight="false" outlineLevel="0" collapsed="false">
      <c r="A41" s="6" t="s">
        <v>491</v>
      </c>
      <c r="B41" s="6" t="s">
        <v>492</v>
      </c>
      <c r="C41" s="6" t="s">
        <v>133</v>
      </c>
      <c r="D41" s="6" t="s">
        <v>29</v>
      </c>
      <c r="E41" s="6" t="s">
        <v>119</v>
      </c>
    </row>
    <row r="43" customFormat="false" ht="15" hidden="false" customHeight="false" outlineLevel="0" collapsed="false">
      <c r="A43" s="3" t="s">
        <v>493</v>
      </c>
      <c r="B43" s="4"/>
      <c r="C43" s="4"/>
      <c r="D43" s="4"/>
      <c r="E43" s="4"/>
    </row>
    <row r="44" customFormat="false" ht="15" hidden="false" customHeight="false" outlineLevel="0" collapsed="false">
      <c r="A44" s="5" t="s">
        <v>39</v>
      </c>
      <c r="B44" s="5" t="s">
        <v>3</v>
      </c>
      <c r="C44" s="5" t="s">
        <v>40</v>
      </c>
      <c r="D44" s="5" t="s">
        <v>6</v>
      </c>
      <c r="E44" s="5" t="s">
        <v>7</v>
      </c>
    </row>
    <row r="45" customFormat="false" ht="23.85" hidden="false" customHeight="false" outlineLevel="0" collapsed="false">
      <c r="A45" s="6" t="s">
        <v>270</v>
      </c>
      <c r="B45" s="6" t="s">
        <v>435</v>
      </c>
      <c r="C45" s="6" t="s">
        <v>494</v>
      </c>
      <c r="D45" s="6" t="s">
        <v>11</v>
      </c>
      <c r="E45" s="6" t="s">
        <v>119</v>
      </c>
    </row>
    <row r="46" customFormat="false" ht="23.85" hidden="false" customHeight="false" outlineLevel="0" collapsed="false">
      <c r="A46" s="6" t="s">
        <v>270</v>
      </c>
      <c r="B46" s="6" t="s">
        <v>438</v>
      </c>
      <c r="C46" s="6" t="s">
        <v>495</v>
      </c>
      <c r="D46" s="6" t="s">
        <v>25</v>
      </c>
      <c r="E46" s="6" t="s">
        <v>119</v>
      </c>
    </row>
    <row r="47" customFormat="false" ht="23.85" hidden="false" customHeight="false" outlineLevel="0" collapsed="false">
      <c r="A47" s="6" t="s">
        <v>270</v>
      </c>
      <c r="B47" s="6" t="s">
        <v>441</v>
      </c>
      <c r="C47" s="6" t="s">
        <v>496</v>
      </c>
      <c r="D47" s="6" t="s">
        <v>29</v>
      </c>
      <c r="E47" s="6" t="s">
        <v>119</v>
      </c>
    </row>
    <row r="48" customFormat="false" ht="23.85" hidden="false" customHeight="false" outlineLevel="0" collapsed="false">
      <c r="A48" s="6" t="s">
        <v>270</v>
      </c>
      <c r="B48" s="6" t="s">
        <v>444</v>
      </c>
      <c r="C48" s="6" t="s">
        <v>497</v>
      </c>
      <c r="D48" s="6" t="s">
        <v>29</v>
      </c>
      <c r="E48" s="6" t="s">
        <v>119</v>
      </c>
    </row>
    <row r="49" customFormat="false" ht="23.85" hidden="false" customHeight="false" outlineLevel="0" collapsed="false">
      <c r="A49" s="6" t="s">
        <v>270</v>
      </c>
      <c r="B49" s="6" t="s">
        <v>453</v>
      </c>
      <c r="C49" s="6" t="s">
        <v>498</v>
      </c>
      <c r="D49" s="6" t="s">
        <v>25</v>
      </c>
      <c r="E49" s="6" t="s">
        <v>119</v>
      </c>
    </row>
    <row r="50" customFormat="false" ht="23.85" hidden="false" customHeight="false" outlineLevel="0" collapsed="false">
      <c r="A50" s="6" t="s">
        <v>274</v>
      </c>
      <c r="B50" s="6" t="s">
        <v>450</v>
      </c>
      <c r="C50" s="6" t="s">
        <v>499</v>
      </c>
      <c r="D50" s="6" t="s">
        <v>29</v>
      </c>
      <c r="E50" s="6" t="s">
        <v>119</v>
      </c>
    </row>
    <row r="51" customFormat="false" ht="15" hidden="false" customHeight="false" outlineLevel="0" collapsed="false">
      <c r="A51" s="6" t="s">
        <v>277</v>
      </c>
      <c r="B51" s="6" t="s">
        <v>466</v>
      </c>
      <c r="C51" s="6" t="s">
        <v>500</v>
      </c>
      <c r="D51" s="6" t="s">
        <v>29</v>
      </c>
      <c r="E51" s="6" t="s">
        <v>119</v>
      </c>
    </row>
    <row r="52" customFormat="false" ht="15" hidden="false" customHeight="false" outlineLevel="0" collapsed="false">
      <c r="A52" s="6" t="s">
        <v>277</v>
      </c>
      <c r="B52" s="6" t="s">
        <v>463</v>
      </c>
      <c r="C52" s="6" t="s">
        <v>501</v>
      </c>
      <c r="D52" s="6" t="s">
        <v>25</v>
      </c>
      <c r="E52" s="6" t="s">
        <v>119</v>
      </c>
    </row>
    <row r="53" customFormat="false" ht="15" hidden="false" customHeight="false" outlineLevel="0" collapsed="false">
      <c r="A53" s="6" t="s">
        <v>277</v>
      </c>
      <c r="B53" s="6" t="s">
        <v>469</v>
      </c>
      <c r="C53" s="6" t="s">
        <v>502</v>
      </c>
      <c r="D53" s="6" t="s">
        <v>29</v>
      </c>
      <c r="E53" s="6" t="s">
        <v>119</v>
      </c>
    </row>
    <row r="54" customFormat="false" ht="23.85" hidden="false" customHeight="false" outlineLevel="0" collapsed="false">
      <c r="A54" s="6" t="s">
        <v>282</v>
      </c>
      <c r="B54" s="6" t="s">
        <v>456</v>
      </c>
      <c r="C54" s="6" t="s">
        <v>503</v>
      </c>
      <c r="D54" s="6" t="s">
        <v>29</v>
      </c>
      <c r="E54" s="6" t="s">
        <v>119</v>
      </c>
    </row>
    <row r="55" customFormat="false" ht="23.85" hidden="false" customHeight="false" outlineLevel="0" collapsed="false">
      <c r="A55" s="6" t="s">
        <v>282</v>
      </c>
      <c r="B55" s="6" t="s">
        <v>479</v>
      </c>
      <c r="C55" s="6" t="s">
        <v>504</v>
      </c>
      <c r="D55" s="6" t="s">
        <v>25</v>
      </c>
      <c r="E55" s="6" t="s">
        <v>119</v>
      </c>
    </row>
    <row r="56" customFormat="false" ht="23.85" hidden="false" customHeight="false" outlineLevel="0" collapsed="false">
      <c r="A56" s="6" t="s">
        <v>282</v>
      </c>
      <c r="B56" s="6" t="s">
        <v>482</v>
      </c>
      <c r="C56" s="6" t="s">
        <v>505</v>
      </c>
      <c r="D56" s="6" t="s">
        <v>29</v>
      </c>
      <c r="E56" s="6" t="s">
        <v>119</v>
      </c>
    </row>
    <row r="57" customFormat="false" ht="23.85" hidden="false" customHeight="false" outlineLevel="0" collapsed="false">
      <c r="A57" s="6" t="s">
        <v>282</v>
      </c>
      <c r="B57" s="6" t="s">
        <v>485</v>
      </c>
      <c r="C57" s="6" t="s">
        <v>506</v>
      </c>
      <c r="D57" s="6" t="s">
        <v>29</v>
      </c>
      <c r="E57" s="6" t="s">
        <v>119</v>
      </c>
    </row>
    <row r="58" customFormat="false" ht="23.85" hidden="false" customHeight="false" outlineLevel="0" collapsed="false">
      <c r="A58" s="6" t="s">
        <v>282</v>
      </c>
      <c r="B58" s="6" t="s">
        <v>507</v>
      </c>
      <c r="C58" s="6" t="s">
        <v>508</v>
      </c>
      <c r="D58" s="6" t="s">
        <v>29</v>
      </c>
      <c r="E58" s="6" t="s">
        <v>119</v>
      </c>
    </row>
    <row r="59" customFormat="false" ht="23.85" hidden="false" customHeight="false" outlineLevel="0" collapsed="false">
      <c r="A59" s="6" t="s">
        <v>292</v>
      </c>
      <c r="B59" s="6" t="s">
        <v>476</v>
      </c>
      <c r="C59" s="6" t="s">
        <v>509</v>
      </c>
      <c r="D59" s="6" t="s">
        <v>29</v>
      </c>
      <c r="E59" s="6" t="s">
        <v>119</v>
      </c>
    </row>
    <row r="60" customFormat="false" ht="23.85" hidden="false" customHeight="false" outlineLevel="0" collapsed="false">
      <c r="A60" s="6" t="s">
        <v>292</v>
      </c>
      <c r="B60" s="6" t="s">
        <v>472</v>
      </c>
      <c r="C60" s="6" t="s">
        <v>510</v>
      </c>
      <c r="D60" s="6" t="s">
        <v>11</v>
      </c>
      <c r="E60" s="6" t="s">
        <v>511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7"/>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0" ySplit="3" topLeftCell="A4" activePane="bottomLeft" state="frozen"/>
      <selection pane="topLeft" activeCell="A1" activeCellId="0" sqref="A1"/>
      <selection pane="bottomLeft" activeCell="E6" activeCellId="0" sqref="E6"/>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4.03"/>
    <col collapsed="false" customWidth="true" hidden="false" outlineLevel="0" max="3" min="3" style="0" width="78"/>
    <col collapsed="false" customWidth="true" hidden="false" outlineLevel="0" max="4" min="4" style="0" width="26"/>
    <col collapsed="false" customWidth="true" hidden="false" outlineLevel="0" max="5" min="5" style="0" width="34"/>
  </cols>
  <sheetData>
    <row r="1" customFormat="false" ht="17.35" hidden="false" customHeight="false" outlineLevel="0" collapsed="false">
      <c r="A1" s="1" t="s">
        <v>512</v>
      </c>
    </row>
    <row r="2" customFormat="false" ht="15" hidden="false" customHeight="false" outlineLevel="0" collapsed="false">
      <c r="A2" s="2" t="s">
        <v>513</v>
      </c>
    </row>
    <row r="4" customFormat="false" ht="15" hidden="false" customHeight="false" outlineLevel="0" collapsed="false">
      <c r="A4" s="3" t="s">
        <v>2</v>
      </c>
      <c r="B4" s="4"/>
      <c r="C4" s="4"/>
      <c r="D4" s="4"/>
      <c r="E4" s="4"/>
    </row>
    <row r="5" customFormat="false" ht="15" hidden="false" customHeight="false" outlineLevel="0" collapsed="false">
      <c r="A5" s="5" t="s">
        <v>3</v>
      </c>
      <c r="B5" s="5" t="s">
        <v>4</v>
      </c>
      <c r="C5" s="5" t="s">
        <v>5</v>
      </c>
      <c r="D5" s="5" t="s">
        <v>6</v>
      </c>
      <c r="E5" s="5" t="s">
        <v>7</v>
      </c>
    </row>
    <row r="6" customFormat="false" ht="57.45" hidden="false" customHeight="false" outlineLevel="0" collapsed="false">
      <c r="A6" s="6" t="s">
        <v>514</v>
      </c>
      <c r="B6" s="6" t="s">
        <v>515</v>
      </c>
      <c r="C6" s="6" t="s">
        <v>516</v>
      </c>
      <c r="D6" s="6" t="s">
        <v>11</v>
      </c>
      <c r="E6" s="6" t="s">
        <v>72</v>
      </c>
    </row>
    <row r="7" customFormat="false" ht="35.05" hidden="false" customHeight="false" outlineLevel="0" collapsed="false">
      <c r="A7" s="6" t="s">
        <v>517</v>
      </c>
      <c r="B7" s="6" t="s">
        <v>518</v>
      </c>
      <c r="C7" s="6" t="s">
        <v>519</v>
      </c>
      <c r="D7" s="6" t="s">
        <v>11</v>
      </c>
      <c r="E7" s="6" t="s">
        <v>72</v>
      </c>
    </row>
    <row r="8" customFormat="false" ht="101" hidden="false" customHeight="false" outlineLevel="0" collapsed="false">
      <c r="A8" s="6" t="s">
        <v>520</v>
      </c>
      <c r="B8" s="6" t="s">
        <v>521</v>
      </c>
      <c r="C8" s="6" t="s">
        <v>481</v>
      </c>
      <c r="D8" s="6" t="s">
        <v>25</v>
      </c>
      <c r="E8" s="6" t="s">
        <v>72</v>
      </c>
    </row>
    <row r="9" customFormat="false" ht="50.5" hidden="false" customHeight="false" outlineLevel="0" collapsed="false">
      <c r="A9" s="6" t="s">
        <v>522</v>
      </c>
      <c r="B9" s="6" t="s">
        <v>523</v>
      </c>
      <c r="C9" s="6" t="s">
        <v>524</v>
      </c>
      <c r="D9" s="6" t="s">
        <v>25</v>
      </c>
      <c r="E9" s="6" t="s">
        <v>72</v>
      </c>
    </row>
    <row r="11" customFormat="false" ht="15" hidden="false" customHeight="false" outlineLevel="0" collapsed="false">
      <c r="A11" s="3" t="s">
        <v>21</v>
      </c>
      <c r="B11" s="4"/>
      <c r="C11" s="4"/>
      <c r="D11" s="4"/>
      <c r="E11" s="4"/>
    </row>
    <row r="12" customFormat="false" ht="15" hidden="false" customHeight="false" outlineLevel="0" collapsed="false">
      <c r="A12" s="5" t="s">
        <v>3</v>
      </c>
      <c r="B12" s="5" t="s">
        <v>4</v>
      </c>
      <c r="C12" s="5" t="s">
        <v>5</v>
      </c>
      <c r="D12" s="5" t="s">
        <v>6</v>
      </c>
      <c r="E12" s="5" t="s">
        <v>7</v>
      </c>
    </row>
    <row r="13" customFormat="false" ht="88.4" hidden="false" customHeight="false" outlineLevel="0" collapsed="false">
      <c r="A13" s="6" t="s">
        <v>525</v>
      </c>
      <c r="B13" s="6" t="s">
        <v>526</v>
      </c>
      <c r="C13" s="6" t="s">
        <v>527</v>
      </c>
      <c r="D13" s="6" t="s">
        <v>11</v>
      </c>
      <c r="E13" s="6" t="s">
        <v>215</v>
      </c>
    </row>
    <row r="14" customFormat="false" ht="50.5" hidden="false" customHeight="false" outlineLevel="0" collapsed="false">
      <c r="A14" s="6" t="s">
        <v>528</v>
      </c>
      <c r="B14" s="6" t="s">
        <v>529</v>
      </c>
      <c r="C14" s="6" t="s">
        <v>530</v>
      </c>
      <c r="D14" s="6" t="s">
        <v>25</v>
      </c>
      <c r="E14" s="6" t="s">
        <v>119</v>
      </c>
    </row>
    <row r="15" customFormat="false" ht="37.85" hidden="false" customHeight="false" outlineLevel="0" collapsed="false">
      <c r="A15" s="6" t="s">
        <v>531</v>
      </c>
      <c r="B15" s="6" t="s">
        <v>532</v>
      </c>
      <c r="C15" s="6" t="s">
        <v>533</v>
      </c>
      <c r="D15" s="6" t="s">
        <v>29</v>
      </c>
      <c r="E15" s="6" t="s">
        <v>119</v>
      </c>
    </row>
    <row r="17" customFormat="false" ht="15" hidden="false" customHeight="false" outlineLevel="0" collapsed="false">
      <c r="A17" s="3" t="s">
        <v>30</v>
      </c>
      <c r="B17" s="4"/>
      <c r="C17" s="4"/>
      <c r="D17" s="4"/>
      <c r="E17" s="4"/>
    </row>
    <row r="18" customFormat="false" ht="15" hidden="false" customHeight="false" outlineLevel="0" collapsed="false">
      <c r="A18" s="5" t="s">
        <v>3</v>
      </c>
      <c r="B18" s="5" t="s">
        <v>4</v>
      </c>
      <c r="C18" s="5" t="s">
        <v>5</v>
      </c>
      <c r="D18" s="5" t="s">
        <v>6</v>
      </c>
      <c r="E18" s="5" t="s">
        <v>7</v>
      </c>
    </row>
    <row r="19" customFormat="false" ht="37.85" hidden="false" customHeight="false" outlineLevel="0" collapsed="false">
      <c r="A19" s="6" t="s">
        <v>534</v>
      </c>
      <c r="B19" s="6" t="s">
        <v>535</v>
      </c>
      <c r="C19" s="6" t="s">
        <v>536</v>
      </c>
      <c r="D19" s="6" t="s">
        <v>29</v>
      </c>
      <c r="E19" s="6" t="s">
        <v>119</v>
      </c>
    </row>
    <row r="20" customFormat="false" ht="25.25" hidden="false" customHeight="false" outlineLevel="0" collapsed="false">
      <c r="A20" s="6" t="s">
        <v>537</v>
      </c>
      <c r="B20" s="6" t="s">
        <v>538</v>
      </c>
      <c r="C20" s="6" t="s">
        <v>539</v>
      </c>
      <c r="D20" s="6" t="s">
        <v>29</v>
      </c>
      <c r="E20" s="6" t="s">
        <v>119</v>
      </c>
    </row>
    <row r="21" customFormat="false" ht="25.25" hidden="false" customHeight="false" outlineLevel="0" collapsed="false">
      <c r="A21" s="6" t="s">
        <v>540</v>
      </c>
      <c r="B21" s="6" t="s">
        <v>541</v>
      </c>
      <c r="C21" s="6" t="s">
        <v>542</v>
      </c>
      <c r="D21" s="6" t="s">
        <v>29</v>
      </c>
      <c r="E21" s="6" t="s">
        <v>119</v>
      </c>
    </row>
    <row r="22" customFormat="false" ht="50.5" hidden="false" customHeight="false" outlineLevel="0" collapsed="false">
      <c r="A22" s="6" t="s">
        <v>543</v>
      </c>
      <c r="B22" s="6" t="s">
        <v>544</v>
      </c>
      <c r="C22" s="6" t="s">
        <v>545</v>
      </c>
      <c r="D22" s="6" t="s">
        <v>25</v>
      </c>
      <c r="E22" s="6" t="s">
        <v>119</v>
      </c>
    </row>
    <row r="24" customFormat="false" ht="15" hidden="false" customHeight="false" outlineLevel="0" collapsed="false">
      <c r="A24" s="3" t="s">
        <v>34</v>
      </c>
      <c r="B24" s="4"/>
      <c r="C24" s="4"/>
      <c r="D24" s="4"/>
      <c r="E24" s="4"/>
    </row>
    <row r="25" customFormat="false" ht="15" hidden="false" customHeight="false" outlineLevel="0" collapsed="false">
      <c r="A25" s="5" t="s">
        <v>3</v>
      </c>
      <c r="B25" s="5" t="s">
        <v>4</v>
      </c>
      <c r="C25" s="5" t="s">
        <v>5</v>
      </c>
      <c r="D25" s="5" t="s">
        <v>6</v>
      </c>
      <c r="E25" s="5" t="s">
        <v>7</v>
      </c>
    </row>
    <row r="26" customFormat="false" ht="25.25" hidden="false" customHeight="false" outlineLevel="0" collapsed="false">
      <c r="A26" s="6" t="s">
        <v>546</v>
      </c>
      <c r="B26" s="6" t="s">
        <v>547</v>
      </c>
      <c r="C26" s="6" t="s">
        <v>548</v>
      </c>
      <c r="D26" s="6" t="s">
        <v>29</v>
      </c>
      <c r="E26" s="6" t="s">
        <v>119</v>
      </c>
    </row>
    <row r="27" customFormat="false" ht="37.85" hidden="false" customHeight="false" outlineLevel="0" collapsed="false">
      <c r="A27" s="6" t="s">
        <v>549</v>
      </c>
      <c r="B27" s="6" t="s">
        <v>550</v>
      </c>
      <c r="C27" s="6" t="s">
        <v>481</v>
      </c>
      <c r="D27" s="6" t="s">
        <v>29</v>
      </c>
      <c r="E27" s="6" t="s">
        <v>119</v>
      </c>
    </row>
    <row r="28" customFormat="false" ht="25.25" hidden="false" customHeight="false" outlineLevel="0" collapsed="false">
      <c r="A28" s="6" t="s">
        <v>551</v>
      </c>
      <c r="B28" s="6" t="s">
        <v>552</v>
      </c>
      <c r="C28" s="6" t="s">
        <v>553</v>
      </c>
      <c r="D28" s="6" t="s">
        <v>29</v>
      </c>
      <c r="E28" s="6" t="s">
        <v>119</v>
      </c>
    </row>
    <row r="29" customFormat="false" ht="37.85" hidden="false" customHeight="false" outlineLevel="0" collapsed="false">
      <c r="A29" s="6" t="s">
        <v>554</v>
      </c>
      <c r="B29" s="6" t="s">
        <v>555</v>
      </c>
      <c r="C29" s="6" t="s">
        <v>556</v>
      </c>
      <c r="D29" s="6" t="s">
        <v>29</v>
      </c>
      <c r="E29" s="6" t="s">
        <v>119</v>
      </c>
    </row>
    <row r="30" customFormat="false" ht="37.85" hidden="false" customHeight="false" outlineLevel="0" collapsed="false">
      <c r="A30" s="6" t="s">
        <v>557</v>
      </c>
      <c r="B30" s="6" t="s">
        <v>558</v>
      </c>
      <c r="C30" s="6" t="s">
        <v>559</v>
      </c>
      <c r="D30" s="6" t="s">
        <v>25</v>
      </c>
      <c r="E30" s="6" t="s">
        <v>119</v>
      </c>
    </row>
    <row r="31" customFormat="false" ht="37.85" hidden="false" customHeight="false" outlineLevel="0" collapsed="false">
      <c r="A31" s="6" t="s">
        <v>560</v>
      </c>
      <c r="B31" s="6" t="s">
        <v>561</v>
      </c>
      <c r="C31" s="6" t="s">
        <v>562</v>
      </c>
      <c r="D31" s="6" t="s">
        <v>25</v>
      </c>
      <c r="E31" s="6" t="s">
        <v>119</v>
      </c>
    </row>
    <row r="33" customFormat="false" ht="15" hidden="false" customHeight="false" outlineLevel="0" collapsed="false">
      <c r="A33" s="3" t="s">
        <v>149</v>
      </c>
      <c r="B33" s="4"/>
      <c r="C33" s="4"/>
      <c r="D33" s="4"/>
      <c r="E33" s="4"/>
    </row>
    <row r="34" customFormat="false" ht="15" hidden="false" customHeight="false" outlineLevel="0" collapsed="false">
      <c r="A34" s="5" t="s">
        <v>39</v>
      </c>
      <c r="B34" s="5" t="s">
        <v>3</v>
      </c>
      <c r="C34" s="5" t="s">
        <v>40</v>
      </c>
      <c r="D34" s="5" t="s">
        <v>6</v>
      </c>
      <c r="E34" s="5" t="s">
        <v>7</v>
      </c>
    </row>
    <row r="35" customFormat="false" ht="23.85" hidden="false" customHeight="false" outlineLevel="0" collapsed="false">
      <c r="A35" s="6" t="s">
        <v>150</v>
      </c>
      <c r="B35" s="6" t="s">
        <v>525</v>
      </c>
      <c r="C35" s="6" t="s">
        <v>563</v>
      </c>
      <c r="D35" s="6" t="s">
        <v>11</v>
      </c>
      <c r="E35" s="6" t="s">
        <v>119</v>
      </c>
    </row>
    <row r="36" customFormat="false" ht="23.85" hidden="false" customHeight="false" outlineLevel="0" collapsed="false">
      <c r="A36" s="6" t="s">
        <v>150</v>
      </c>
      <c r="B36" s="6" t="s">
        <v>528</v>
      </c>
      <c r="C36" s="6" t="s">
        <v>564</v>
      </c>
      <c r="D36" s="6" t="s">
        <v>25</v>
      </c>
      <c r="E36" s="6" t="s">
        <v>119</v>
      </c>
    </row>
    <row r="37" customFormat="false" ht="23.85" hidden="false" customHeight="false" outlineLevel="0" collapsed="false">
      <c r="A37" s="6" t="s">
        <v>41</v>
      </c>
      <c r="B37" s="6" t="s">
        <v>531</v>
      </c>
      <c r="C37" s="6" t="s">
        <v>565</v>
      </c>
      <c r="D37" s="6" t="s">
        <v>29</v>
      </c>
      <c r="E37" s="6" t="s">
        <v>119</v>
      </c>
    </row>
    <row r="38" customFormat="false" ht="15" hidden="false" customHeight="false" outlineLevel="0" collapsed="false">
      <c r="A38" s="6" t="s">
        <v>46</v>
      </c>
      <c r="B38" s="6" t="s">
        <v>534</v>
      </c>
      <c r="C38" s="6" t="s">
        <v>566</v>
      </c>
      <c r="D38" s="6" t="s">
        <v>29</v>
      </c>
      <c r="E38" s="6" t="s">
        <v>119</v>
      </c>
    </row>
    <row r="39" customFormat="false" ht="15" hidden="false" customHeight="false" outlineLevel="0" collapsed="false">
      <c r="A39" s="6" t="s">
        <v>46</v>
      </c>
      <c r="B39" s="6" t="s">
        <v>537</v>
      </c>
      <c r="C39" s="6" t="s">
        <v>567</v>
      </c>
      <c r="D39" s="6" t="s">
        <v>29</v>
      </c>
      <c r="E39" s="6" t="s">
        <v>119</v>
      </c>
    </row>
    <row r="40" customFormat="false" ht="15" hidden="false" customHeight="false" outlineLevel="0" collapsed="false">
      <c r="A40" s="6" t="s">
        <v>46</v>
      </c>
      <c r="B40" s="6" t="s">
        <v>540</v>
      </c>
      <c r="C40" s="6" t="s">
        <v>568</v>
      </c>
      <c r="D40" s="6" t="s">
        <v>29</v>
      </c>
      <c r="E40" s="6" t="s">
        <v>119</v>
      </c>
    </row>
    <row r="41" customFormat="false" ht="15" hidden="false" customHeight="false" outlineLevel="0" collapsed="false">
      <c r="A41" s="6" t="s">
        <v>46</v>
      </c>
      <c r="B41" s="6" t="s">
        <v>543</v>
      </c>
      <c r="C41" s="6" t="e">
        <f aca="false"> → === en línea 21; línea 112 con normalización String() (no a ciegas)</f>
        <v>#N/A</v>
      </c>
      <c r="D41" s="6" t="s">
        <v>25</v>
      </c>
      <c r="E41" s="6" t="s">
        <v>119</v>
      </c>
    </row>
    <row r="42" customFormat="false" ht="15" hidden="false" customHeight="false" outlineLevel="0" collapsed="false">
      <c r="A42" s="6" t="s">
        <v>162</v>
      </c>
      <c r="B42" s="6" t="s">
        <v>546</v>
      </c>
      <c r="C42" s="6" t="s">
        <v>569</v>
      </c>
      <c r="D42" s="6" t="s">
        <v>29</v>
      </c>
      <c r="E42" s="6" t="s">
        <v>119</v>
      </c>
    </row>
    <row r="43" customFormat="false" ht="15" hidden="false" customHeight="false" outlineLevel="0" collapsed="false">
      <c r="A43" s="6" t="s">
        <v>162</v>
      </c>
      <c r="B43" s="6" t="s">
        <v>549</v>
      </c>
      <c r="C43" s="6" t="s">
        <v>570</v>
      </c>
      <c r="D43" s="6" t="s">
        <v>29</v>
      </c>
      <c r="E43" s="6" t="s">
        <v>119</v>
      </c>
    </row>
    <row r="44" customFormat="false" ht="15" hidden="false" customHeight="false" outlineLevel="0" collapsed="false">
      <c r="A44" s="6" t="s">
        <v>162</v>
      </c>
      <c r="B44" s="6" t="s">
        <v>551</v>
      </c>
      <c r="C44" s="6" t="s">
        <v>571</v>
      </c>
      <c r="D44" s="6" t="s">
        <v>29</v>
      </c>
      <c r="E44" s="6" t="s">
        <v>119</v>
      </c>
    </row>
    <row r="45" customFormat="false" ht="15" hidden="false" customHeight="false" outlineLevel="0" collapsed="false">
      <c r="A45" s="6" t="s">
        <v>162</v>
      </c>
      <c r="B45" s="6" t="s">
        <v>554</v>
      </c>
      <c r="C45" s="6" t="s">
        <v>572</v>
      </c>
      <c r="D45" s="6" t="s">
        <v>29</v>
      </c>
      <c r="E45" s="6" t="s">
        <v>119</v>
      </c>
    </row>
    <row r="46" customFormat="false" ht="15" hidden="false" customHeight="false" outlineLevel="0" collapsed="false">
      <c r="A46" s="6" t="s">
        <v>48</v>
      </c>
      <c r="B46" s="6" t="s">
        <v>557</v>
      </c>
      <c r="C46" s="6" t="s">
        <v>573</v>
      </c>
      <c r="D46" s="6" t="s">
        <v>25</v>
      </c>
      <c r="E46" s="6" t="s">
        <v>119</v>
      </c>
    </row>
    <row r="47" customFormat="false" ht="23.85" hidden="false" customHeight="false" outlineLevel="0" collapsed="false">
      <c r="A47" s="6" t="s">
        <v>48</v>
      </c>
      <c r="B47" s="6" t="s">
        <v>560</v>
      </c>
      <c r="C47" s="6" t="s">
        <v>574</v>
      </c>
      <c r="D47" s="6" t="s">
        <v>25</v>
      </c>
      <c r="E47" s="6" t="s">
        <v>119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62"/>
    <col collapsed="false" customWidth="true" hidden="false" outlineLevel="0" max="4" min="4" style="0" width="12"/>
    <col collapsed="false" customWidth="true" hidden="false" outlineLevel="0" max="5" min="5" style="0" width="16"/>
    <col collapsed="false" customWidth="true" hidden="false" outlineLevel="0" max="7" min="6" style="0" width="20"/>
    <col collapsed="false" customWidth="true" hidden="false" outlineLevel="0" max="8" min="8" style="0" width="70"/>
  </cols>
  <sheetData>
    <row r="1" customFormat="false" ht="17.35" hidden="false" customHeight="false" outlineLevel="0" collapsed="false">
      <c r="A1" s="1" t="s">
        <v>575</v>
      </c>
    </row>
    <row r="2" customFormat="false" ht="15" hidden="false" customHeight="false" outlineLevel="0" collapsed="false">
      <c r="A2" s="2" t="s">
        <v>576</v>
      </c>
    </row>
    <row r="4" customFormat="false" ht="15" hidden="false" customHeight="false" outlineLevel="0" collapsed="false">
      <c r="A4" s="3" t="s">
        <v>577</v>
      </c>
      <c r="B4" s="4"/>
      <c r="C4" s="4"/>
      <c r="D4" s="4"/>
      <c r="E4" s="4"/>
      <c r="F4" s="4"/>
      <c r="G4" s="4"/>
      <c r="H4" s="4"/>
    </row>
    <row r="5" customFormat="false" ht="26.85" hidden="false" customHeight="false" outlineLevel="0" collapsed="false">
      <c r="A5" s="5" t="s">
        <v>3</v>
      </c>
      <c r="B5" s="5" t="s">
        <v>578</v>
      </c>
      <c r="C5" s="5" t="s">
        <v>579</v>
      </c>
      <c r="D5" s="5" t="s">
        <v>6</v>
      </c>
      <c r="E5" s="5" t="s">
        <v>7</v>
      </c>
      <c r="F5" s="5" t="s">
        <v>580</v>
      </c>
      <c r="G5" s="5" t="s">
        <v>581</v>
      </c>
      <c r="H5" s="5" t="s">
        <v>582</v>
      </c>
    </row>
    <row r="6" customFormat="false" ht="23.85" hidden="false" customHeight="false" outlineLevel="0" collapsed="false">
      <c r="A6" s="6" t="s">
        <v>583</v>
      </c>
      <c r="B6" s="6" t="s">
        <v>584</v>
      </c>
      <c r="C6" s="6" t="s">
        <v>585</v>
      </c>
      <c r="D6" s="6" t="s">
        <v>52</v>
      </c>
      <c r="E6" s="6" t="s">
        <v>586</v>
      </c>
      <c r="F6" s="6" t="s">
        <v>587</v>
      </c>
      <c r="G6" s="6" t="s">
        <v>588</v>
      </c>
      <c r="H6" s="6" t="s">
        <v>589</v>
      </c>
    </row>
    <row r="7" customFormat="false" ht="23.85" hidden="false" customHeight="false" outlineLevel="0" collapsed="false">
      <c r="A7" s="6" t="s">
        <v>590</v>
      </c>
      <c r="B7" s="6" t="s">
        <v>584</v>
      </c>
      <c r="C7" s="6" t="s">
        <v>591</v>
      </c>
      <c r="D7" s="6" t="s">
        <v>52</v>
      </c>
      <c r="E7" s="6" t="s">
        <v>586</v>
      </c>
      <c r="F7" s="6" t="s">
        <v>587</v>
      </c>
      <c r="G7" s="6" t="s">
        <v>588</v>
      </c>
      <c r="H7" s="6" t="s">
        <v>592</v>
      </c>
    </row>
    <row r="8" customFormat="false" ht="23.85" hidden="false" customHeight="false" outlineLevel="0" collapsed="false">
      <c r="A8" s="6" t="s">
        <v>593</v>
      </c>
      <c r="B8" s="6" t="s">
        <v>584</v>
      </c>
      <c r="C8" s="6" t="s">
        <v>594</v>
      </c>
      <c r="D8" s="6" t="s">
        <v>43</v>
      </c>
      <c r="E8" s="6" t="s">
        <v>586</v>
      </c>
      <c r="F8" s="6" t="s">
        <v>587</v>
      </c>
      <c r="G8" s="6" t="s">
        <v>588</v>
      </c>
      <c r="H8" s="6" t="s">
        <v>595</v>
      </c>
    </row>
    <row r="9" customFormat="false" ht="46.25" hidden="false" customHeight="false" outlineLevel="0" collapsed="false">
      <c r="A9" s="6" t="s">
        <v>8</v>
      </c>
      <c r="B9" s="6" t="s">
        <v>596</v>
      </c>
      <c r="C9" s="6" t="s">
        <v>597</v>
      </c>
      <c r="D9" s="6" t="s">
        <v>52</v>
      </c>
      <c r="E9" s="6" t="s">
        <v>16</v>
      </c>
      <c r="F9" s="6" t="s">
        <v>598</v>
      </c>
      <c r="G9" s="6" t="s">
        <v>599</v>
      </c>
      <c r="H9" s="6" t="s">
        <v>600</v>
      </c>
    </row>
    <row r="10" customFormat="false" ht="79.85" hidden="false" customHeight="false" outlineLevel="0" collapsed="false">
      <c r="A10" s="6" t="s">
        <v>13</v>
      </c>
      <c r="B10" s="6" t="s">
        <v>596</v>
      </c>
      <c r="C10" s="6" t="s">
        <v>601</v>
      </c>
      <c r="D10" s="6" t="s">
        <v>52</v>
      </c>
      <c r="E10" s="6" t="s">
        <v>16</v>
      </c>
      <c r="F10" s="6" t="s">
        <v>598</v>
      </c>
      <c r="G10" s="6" t="s">
        <v>602</v>
      </c>
      <c r="H10" s="6" t="s">
        <v>603</v>
      </c>
    </row>
    <row r="11" customFormat="false" ht="35.05" hidden="false" customHeight="false" outlineLevel="0" collapsed="false">
      <c r="A11" s="6" t="s">
        <v>17</v>
      </c>
      <c r="B11" s="6" t="s">
        <v>596</v>
      </c>
      <c r="C11" s="6" t="s">
        <v>604</v>
      </c>
      <c r="D11" s="6" t="s">
        <v>52</v>
      </c>
      <c r="E11" s="6" t="s">
        <v>586</v>
      </c>
      <c r="F11" s="6" t="s">
        <v>598</v>
      </c>
      <c r="G11" s="6" t="s">
        <v>588</v>
      </c>
      <c r="H11" s="6" t="s">
        <v>605</v>
      </c>
    </row>
    <row r="12" customFormat="false" ht="147" hidden="false" customHeight="false" outlineLevel="0" collapsed="false">
      <c r="A12" s="6" t="s">
        <v>62</v>
      </c>
      <c r="B12" s="6" t="s">
        <v>606</v>
      </c>
      <c r="C12" s="6" t="s">
        <v>607</v>
      </c>
      <c r="D12" s="6" t="s">
        <v>52</v>
      </c>
      <c r="E12" s="6" t="s">
        <v>65</v>
      </c>
      <c r="F12" s="6" t="s">
        <v>608</v>
      </c>
      <c r="G12" s="6" t="s">
        <v>609</v>
      </c>
      <c r="H12" s="6" t="s">
        <v>610</v>
      </c>
    </row>
    <row r="13" customFormat="false" ht="68.65" hidden="false" customHeight="false" outlineLevel="0" collapsed="false">
      <c r="A13" s="6" t="s">
        <v>611</v>
      </c>
      <c r="B13" s="6" t="s">
        <v>606</v>
      </c>
      <c r="C13" s="6" t="s">
        <v>612</v>
      </c>
      <c r="D13" s="6" t="s">
        <v>52</v>
      </c>
      <c r="E13" s="6" t="s">
        <v>16</v>
      </c>
      <c r="F13" s="6" t="s">
        <v>608</v>
      </c>
      <c r="G13" s="6" t="s">
        <v>609</v>
      </c>
      <c r="H13" s="6" t="s">
        <v>613</v>
      </c>
    </row>
    <row r="14" customFormat="false" ht="35.05" hidden="false" customHeight="false" outlineLevel="0" collapsed="false">
      <c r="A14" s="6" t="s">
        <v>69</v>
      </c>
      <c r="B14" s="6" t="s">
        <v>606</v>
      </c>
      <c r="C14" s="6" t="s">
        <v>614</v>
      </c>
      <c r="D14" s="6" t="s">
        <v>52</v>
      </c>
      <c r="E14" s="6" t="s">
        <v>586</v>
      </c>
      <c r="F14" s="6" t="s">
        <v>608</v>
      </c>
      <c r="G14" s="6" t="s">
        <v>588</v>
      </c>
      <c r="H14" s="6" t="s">
        <v>615</v>
      </c>
    </row>
    <row r="15" customFormat="false" ht="35.05" hidden="false" customHeight="false" outlineLevel="0" collapsed="false">
      <c r="A15" s="6" t="s">
        <v>73</v>
      </c>
      <c r="B15" s="6" t="s">
        <v>606</v>
      </c>
      <c r="C15" s="6" t="s">
        <v>616</v>
      </c>
      <c r="D15" s="6" t="s">
        <v>617</v>
      </c>
      <c r="E15" s="6" t="s">
        <v>586</v>
      </c>
      <c r="F15" s="6" t="s">
        <v>608</v>
      </c>
      <c r="G15" s="6" t="s">
        <v>588</v>
      </c>
      <c r="H15" s="6" t="s">
        <v>618</v>
      </c>
    </row>
    <row r="16" customFormat="false" ht="23.85" hidden="false" customHeight="false" outlineLevel="0" collapsed="false">
      <c r="A16" s="6" t="s">
        <v>77</v>
      </c>
      <c r="B16" s="6" t="s">
        <v>606</v>
      </c>
      <c r="C16" s="6" t="s">
        <v>619</v>
      </c>
      <c r="D16" s="6" t="s">
        <v>52</v>
      </c>
      <c r="E16" s="6" t="s">
        <v>586</v>
      </c>
      <c r="F16" s="6" t="s">
        <v>608</v>
      </c>
      <c r="G16" s="6" t="s">
        <v>588</v>
      </c>
      <c r="H16" s="6" t="s">
        <v>620</v>
      </c>
    </row>
    <row r="17" customFormat="false" ht="23.85" hidden="false" customHeight="false" outlineLevel="0" collapsed="false">
      <c r="A17" s="6" t="s">
        <v>80</v>
      </c>
      <c r="B17" s="6" t="s">
        <v>606</v>
      </c>
      <c r="C17" s="6" t="s">
        <v>621</v>
      </c>
      <c r="D17" s="6" t="s">
        <v>52</v>
      </c>
      <c r="E17" s="6" t="s">
        <v>586</v>
      </c>
      <c r="F17" s="6" t="s">
        <v>608</v>
      </c>
      <c r="G17" s="6" t="s">
        <v>588</v>
      </c>
      <c r="H17" s="6" t="s">
        <v>622</v>
      </c>
    </row>
    <row r="18" customFormat="false" ht="79.85" hidden="false" customHeight="false" outlineLevel="0" collapsed="false">
      <c r="A18" s="6" t="s">
        <v>623</v>
      </c>
      <c r="B18" s="6" t="s">
        <v>606</v>
      </c>
      <c r="C18" s="6" t="s">
        <v>624</v>
      </c>
      <c r="D18" s="6" t="s">
        <v>52</v>
      </c>
      <c r="E18" s="6" t="s">
        <v>16</v>
      </c>
      <c r="F18" s="6" t="s">
        <v>608</v>
      </c>
      <c r="G18" s="6" t="s">
        <v>609</v>
      </c>
      <c r="H18" s="6" t="s">
        <v>625</v>
      </c>
    </row>
    <row r="19" customFormat="false" ht="35.05" hidden="false" customHeight="false" outlineLevel="0" collapsed="false">
      <c r="A19" s="6" t="s">
        <v>86</v>
      </c>
      <c r="B19" s="6" t="s">
        <v>606</v>
      </c>
      <c r="C19" s="6" t="s">
        <v>626</v>
      </c>
      <c r="D19" s="6" t="s">
        <v>627</v>
      </c>
      <c r="E19" s="6" t="s">
        <v>586</v>
      </c>
      <c r="F19" s="6" t="s">
        <v>608</v>
      </c>
      <c r="G19" s="6" t="s">
        <v>588</v>
      </c>
      <c r="H19" s="6" t="s">
        <v>628</v>
      </c>
    </row>
    <row r="20" customFormat="false" ht="46.25" hidden="false" customHeight="false" outlineLevel="0" collapsed="false">
      <c r="A20" s="6" t="s">
        <v>107</v>
      </c>
      <c r="B20" s="6" t="s">
        <v>606</v>
      </c>
      <c r="C20" s="6" t="s">
        <v>629</v>
      </c>
      <c r="D20" s="6" t="s">
        <v>52</v>
      </c>
      <c r="E20" s="6" t="s">
        <v>586</v>
      </c>
      <c r="F20" s="6" t="s">
        <v>608</v>
      </c>
      <c r="G20" s="6" t="s">
        <v>588</v>
      </c>
      <c r="H20" s="6" t="s">
        <v>630</v>
      </c>
    </row>
    <row r="21" customFormat="false" ht="68.65" hidden="false" customHeight="false" outlineLevel="0" collapsed="false">
      <c r="A21" s="6" t="s">
        <v>127</v>
      </c>
      <c r="B21" s="6" t="s">
        <v>606</v>
      </c>
      <c r="C21" s="6" t="s">
        <v>631</v>
      </c>
      <c r="D21" s="6" t="s">
        <v>52</v>
      </c>
      <c r="E21" s="6" t="s">
        <v>586</v>
      </c>
      <c r="F21" s="6" t="s">
        <v>632</v>
      </c>
      <c r="G21" s="6" t="s">
        <v>588</v>
      </c>
      <c r="H21" s="6" t="s">
        <v>633</v>
      </c>
    </row>
    <row r="22" customFormat="false" ht="35.05" hidden="false" customHeight="false" outlineLevel="0" collapsed="false">
      <c r="A22" s="6" t="s">
        <v>173</v>
      </c>
      <c r="B22" s="6" t="s">
        <v>634</v>
      </c>
      <c r="C22" s="6" t="s">
        <v>635</v>
      </c>
      <c r="D22" s="6" t="s">
        <v>52</v>
      </c>
      <c r="E22" s="6" t="s">
        <v>586</v>
      </c>
      <c r="F22" s="6" t="s">
        <v>608</v>
      </c>
      <c r="G22" s="6" t="s">
        <v>588</v>
      </c>
      <c r="H22" s="6" t="s">
        <v>636</v>
      </c>
    </row>
    <row r="23" customFormat="false" ht="35.05" hidden="false" customHeight="false" outlineLevel="0" collapsed="false">
      <c r="A23" s="6" t="s">
        <v>176</v>
      </c>
      <c r="B23" s="6" t="s">
        <v>634</v>
      </c>
      <c r="C23" s="6" t="s">
        <v>637</v>
      </c>
      <c r="D23" s="6" t="s">
        <v>52</v>
      </c>
      <c r="E23" s="6" t="s">
        <v>586</v>
      </c>
      <c r="F23" s="6" t="s">
        <v>608</v>
      </c>
      <c r="G23" s="6" t="s">
        <v>588</v>
      </c>
      <c r="H23" s="6" t="s">
        <v>638</v>
      </c>
    </row>
    <row r="24" customFormat="false" ht="35.05" hidden="false" customHeight="false" outlineLevel="0" collapsed="false">
      <c r="A24" s="6" t="s">
        <v>179</v>
      </c>
      <c r="B24" s="6" t="s">
        <v>634</v>
      </c>
      <c r="C24" s="6" t="s">
        <v>639</v>
      </c>
      <c r="D24" s="6" t="s">
        <v>52</v>
      </c>
      <c r="E24" s="6" t="s">
        <v>586</v>
      </c>
      <c r="F24" s="6" t="s">
        <v>608</v>
      </c>
      <c r="G24" s="6" t="s">
        <v>588</v>
      </c>
      <c r="H24" s="6" t="s">
        <v>640</v>
      </c>
    </row>
    <row r="25" customFormat="false" ht="23.85" hidden="false" customHeight="false" outlineLevel="0" collapsed="false">
      <c r="A25" s="6" t="s">
        <v>182</v>
      </c>
      <c r="B25" s="6" t="s">
        <v>634</v>
      </c>
      <c r="C25" s="6" t="s">
        <v>641</v>
      </c>
      <c r="D25" s="6" t="s">
        <v>52</v>
      </c>
      <c r="E25" s="6" t="s">
        <v>586</v>
      </c>
      <c r="F25" s="6" t="s">
        <v>608</v>
      </c>
      <c r="G25" s="6" t="s">
        <v>588</v>
      </c>
      <c r="H25" s="6" t="s">
        <v>642</v>
      </c>
    </row>
    <row r="26" customFormat="false" ht="35.05" hidden="false" customHeight="false" outlineLevel="0" collapsed="false">
      <c r="A26" s="6" t="s">
        <v>185</v>
      </c>
      <c r="B26" s="6" t="s">
        <v>634</v>
      </c>
      <c r="C26" s="6" t="s">
        <v>643</v>
      </c>
      <c r="D26" s="6" t="s">
        <v>52</v>
      </c>
      <c r="E26" s="6" t="s">
        <v>586</v>
      </c>
      <c r="F26" s="6" t="s">
        <v>608</v>
      </c>
      <c r="G26" s="6" t="s">
        <v>588</v>
      </c>
      <c r="H26" s="6" t="s">
        <v>644</v>
      </c>
    </row>
    <row r="27" customFormat="false" ht="35.05" hidden="false" customHeight="false" outlineLevel="0" collapsed="false">
      <c r="A27" s="6" t="s">
        <v>188</v>
      </c>
      <c r="B27" s="6" t="s">
        <v>634</v>
      </c>
      <c r="C27" s="6" t="s">
        <v>645</v>
      </c>
      <c r="D27" s="6" t="s">
        <v>52</v>
      </c>
      <c r="E27" s="6" t="s">
        <v>586</v>
      </c>
      <c r="F27" s="6" t="s">
        <v>608</v>
      </c>
      <c r="G27" s="6" t="s">
        <v>588</v>
      </c>
      <c r="H27" s="6" t="s">
        <v>646</v>
      </c>
    </row>
    <row r="28" customFormat="false" ht="23.85" hidden="false" customHeight="false" outlineLevel="0" collapsed="false">
      <c r="A28" s="6" t="s">
        <v>191</v>
      </c>
      <c r="B28" s="6" t="s">
        <v>634</v>
      </c>
      <c r="C28" s="6" t="s">
        <v>647</v>
      </c>
      <c r="D28" s="6" t="s">
        <v>52</v>
      </c>
      <c r="E28" s="6" t="s">
        <v>586</v>
      </c>
      <c r="F28" s="6" t="s">
        <v>608</v>
      </c>
      <c r="G28" s="6" t="s">
        <v>588</v>
      </c>
      <c r="H28" s="6" t="s">
        <v>648</v>
      </c>
    </row>
    <row r="29" customFormat="false" ht="23.85" hidden="false" customHeight="false" outlineLevel="0" collapsed="false">
      <c r="A29" s="6" t="s">
        <v>194</v>
      </c>
      <c r="B29" s="6" t="s">
        <v>634</v>
      </c>
      <c r="C29" s="6" t="s">
        <v>649</v>
      </c>
      <c r="D29" s="6" t="s">
        <v>52</v>
      </c>
      <c r="E29" s="6" t="s">
        <v>586</v>
      </c>
      <c r="F29" s="6" t="s">
        <v>608</v>
      </c>
      <c r="G29" s="6" t="s">
        <v>588</v>
      </c>
      <c r="H29" s="6" t="s">
        <v>650</v>
      </c>
    </row>
    <row r="30" customFormat="false" ht="35.05" hidden="false" customHeight="false" outlineLevel="0" collapsed="false">
      <c r="A30" s="6" t="s">
        <v>197</v>
      </c>
      <c r="B30" s="6" t="s">
        <v>634</v>
      </c>
      <c r="C30" s="6" t="s">
        <v>651</v>
      </c>
      <c r="D30" s="6" t="s">
        <v>52</v>
      </c>
      <c r="E30" s="6" t="s">
        <v>586</v>
      </c>
      <c r="F30" s="6" t="s">
        <v>608</v>
      </c>
      <c r="G30" s="6" t="s">
        <v>588</v>
      </c>
      <c r="H30" s="6" t="s">
        <v>652</v>
      </c>
    </row>
    <row r="31" customFormat="false" ht="23.85" hidden="false" customHeight="false" outlineLevel="0" collapsed="false">
      <c r="A31" s="6" t="s">
        <v>200</v>
      </c>
      <c r="B31" s="6" t="s">
        <v>634</v>
      </c>
      <c r="C31" s="6" t="s">
        <v>653</v>
      </c>
      <c r="D31" s="6" t="s">
        <v>52</v>
      </c>
      <c r="E31" s="6" t="s">
        <v>586</v>
      </c>
      <c r="F31" s="6" t="s">
        <v>608</v>
      </c>
      <c r="G31" s="6" t="s">
        <v>588</v>
      </c>
      <c r="H31" s="6" t="s">
        <v>654</v>
      </c>
    </row>
    <row r="32" customFormat="false" ht="23.85" hidden="false" customHeight="false" outlineLevel="0" collapsed="false">
      <c r="A32" s="6" t="s">
        <v>203</v>
      </c>
      <c r="B32" s="6" t="s">
        <v>634</v>
      </c>
      <c r="C32" s="6" t="s">
        <v>655</v>
      </c>
      <c r="D32" s="6" t="s">
        <v>52</v>
      </c>
      <c r="E32" s="6" t="s">
        <v>586</v>
      </c>
      <c r="F32" s="6" t="s">
        <v>608</v>
      </c>
      <c r="G32" s="6" t="s">
        <v>588</v>
      </c>
      <c r="H32" s="6" t="s">
        <v>656</v>
      </c>
    </row>
    <row r="33" customFormat="false" ht="23.85" hidden="false" customHeight="false" outlineLevel="0" collapsed="false">
      <c r="A33" s="6" t="s">
        <v>206</v>
      </c>
      <c r="B33" s="6" t="s">
        <v>634</v>
      </c>
      <c r="C33" s="6" t="s">
        <v>657</v>
      </c>
      <c r="D33" s="6" t="s">
        <v>52</v>
      </c>
      <c r="E33" s="6" t="s">
        <v>586</v>
      </c>
      <c r="F33" s="6" t="s">
        <v>608</v>
      </c>
      <c r="G33" s="6" t="s">
        <v>588</v>
      </c>
      <c r="H33" s="6" t="s">
        <v>658</v>
      </c>
    </row>
    <row r="34" customFormat="false" ht="35.05" hidden="false" customHeight="false" outlineLevel="0" collapsed="false">
      <c r="A34" s="6" t="s">
        <v>209</v>
      </c>
      <c r="B34" s="6" t="s">
        <v>634</v>
      </c>
      <c r="C34" s="6" t="s">
        <v>659</v>
      </c>
      <c r="D34" s="6" t="s">
        <v>52</v>
      </c>
      <c r="E34" s="6" t="s">
        <v>586</v>
      </c>
      <c r="F34" s="6" t="s">
        <v>608</v>
      </c>
      <c r="G34" s="6" t="s">
        <v>588</v>
      </c>
      <c r="H34" s="6" t="s">
        <v>660</v>
      </c>
    </row>
    <row r="35" customFormat="false" ht="35.05" hidden="false" customHeight="false" outlineLevel="0" collapsed="false">
      <c r="A35" s="6" t="s">
        <v>212</v>
      </c>
      <c r="B35" s="6" t="s">
        <v>634</v>
      </c>
      <c r="C35" s="6" t="s">
        <v>661</v>
      </c>
      <c r="D35" s="6" t="s">
        <v>52</v>
      </c>
      <c r="E35" s="6" t="s">
        <v>586</v>
      </c>
      <c r="F35" s="6" t="s">
        <v>608</v>
      </c>
      <c r="G35" s="6" t="s">
        <v>588</v>
      </c>
      <c r="H35" s="6" t="s">
        <v>662</v>
      </c>
    </row>
    <row r="36" customFormat="false" ht="23.85" hidden="false" customHeight="false" outlineLevel="0" collapsed="false">
      <c r="A36" s="6" t="s">
        <v>243</v>
      </c>
      <c r="B36" s="6" t="s">
        <v>634</v>
      </c>
      <c r="C36" s="6" t="s">
        <v>663</v>
      </c>
      <c r="D36" s="6" t="s">
        <v>52</v>
      </c>
      <c r="E36" s="6" t="s">
        <v>586</v>
      </c>
      <c r="F36" s="6" t="s">
        <v>608</v>
      </c>
      <c r="G36" s="6" t="s">
        <v>588</v>
      </c>
      <c r="H36" s="6" t="s">
        <v>664</v>
      </c>
    </row>
    <row r="37" customFormat="false" ht="46.25" hidden="false" customHeight="false" outlineLevel="0" collapsed="false">
      <c r="A37" s="6" t="s">
        <v>322</v>
      </c>
      <c r="B37" s="6" t="s">
        <v>665</v>
      </c>
      <c r="C37" s="6" t="s">
        <v>666</v>
      </c>
      <c r="D37" s="6" t="s">
        <v>52</v>
      </c>
      <c r="E37" s="6" t="s">
        <v>586</v>
      </c>
      <c r="F37" s="6" t="s">
        <v>608</v>
      </c>
      <c r="G37" s="6" t="s">
        <v>588</v>
      </c>
      <c r="H37" s="6" t="s">
        <v>667</v>
      </c>
    </row>
    <row r="38" customFormat="false" ht="35.05" hidden="false" customHeight="false" outlineLevel="0" collapsed="false">
      <c r="A38" s="6" t="s">
        <v>325</v>
      </c>
      <c r="B38" s="6" t="s">
        <v>665</v>
      </c>
      <c r="C38" s="6" t="s">
        <v>668</v>
      </c>
      <c r="D38" s="6" t="s">
        <v>52</v>
      </c>
      <c r="E38" s="6" t="s">
        <v>586</v>
      </c>
      <c r="F38" s="6" t="s">
        <v>608</v>
      </c>
      <c r="G38" s="6" t="s">
        <v>588</v>
      </c>
      <c r="H38" s="6" t="s">
        <v>669</v>
      </c>
    </row>
    <row r="39" customFormat="false" ht="35.05" hidden="false" customHeight="false" outlineLevel="0" collapsed="false">
      <c r="A39" s="6" t="s">
        <v>328</v>
      </c>
      <c r="B39" s="6" t="s">
        <v>665</v>
      </c>
      <c r="C39" s="6" t="s">
        <v>670</v>
      </c>
      <c r="D39" s="6" t="s">
        <v>52</v>
      </c>
      <c r="E39" s="6" t="s">
        <v>586</v>
      </c>
      <c r="F39" s="6" t="s">
        <v>608</v>
      </c>
      <c r="G39" s="6" t="s">
        <v>588</v>
      </c>
      <c r="H39" s="6" t="s">
        <v>671</v>
      </c>
    </row>
    <row r="40" customFormat="false" ht="35.05" hidden="false" customHeight="false" outlineLevel="0" collapsed="false">
      <c r="A40" s="6" t="s">
        <v>331</v>
      </c>
      <c r="B40" s="6" t="s">
        <v>665</v>
      </c>
      <c r="C40" s="6" t="s">
        <v>672</v>
      </c>
      <c r="D40" s="6" t="s">
        <v>52</v>
      </c>
      <c r="E40" s="6" t="s">
        <v>586</v>
      </c>
      <c r="F40" s="6" t="s">
        <v>608</v>
      </c>
      <c r="G40" s="6" t="s">
        <v>588</v>
      </c>
      <c r="H40" s="6" t="s">
        <v>673</v>
      </c>
    </row>
    <row r="41" customFormat="false" ht="23.85" hidden="false" customHeight="false" outlineLevel="0" collapsed="false">
      <c r="A41" s="6" t="s">
        <v>334</v>
      </c>
      <c r="B41" s="6" t="s">
        <v>665</v>
      </c>
      <c r="C41" s="6" t="s">
        <v>674</v>
      </c>
      <c r="D41" s="6" t="s">
        <v>52</v>
      </c>
      <c r="E41" s="6" t="s">
        <v>586</v>
      </c>
      <c r="F41" s="6" t="s">
        <v>608</v>
      </c>
      <c r="G41" s="6" t="s">
        <v>588</v>
      </c>
      <c r="H41" s="6" t="s">
        <v>675</v>
      </c>
    </row>
    <row r="42" customFormat="false" ht="23.85" hidden="false" customHeight="false" outlineLevel="0" collapsed="false">
      <c r="A42" s="6" t="s">
        <v>337</v>
      </c>
      <c r="B42" s="6" t="s">
        <v>665</v>
      </c>
      <c r="C42" s="6" t="s">
        <v>676</v>
      </c>
      <c r="D42" s="6" t="s">
        <v>52</v>
      </c>
      <c r="E42" s="6" t="s">
        <v>586</v>
      </c>
      <c r="F42" s="6" t="s">
        <v>608</v>
      </c>
      <c r="G42" s="6" t="s">
        <v>588</v>
      </c>
      <c r="H42" s="6" t="s">
        <v>677</v>
      </c>
    </row>
    <row r="43" customFormat="false" ht="35.05" hidden="false" customHeight="false" outlineLevel="0" collapsed="false">
      <c r="A43" s="6" t="s">
        <v>349</v>
      </c>
      <c r="B43" s="6" t="s">
        <v>665</v>
      </c>
      <c r="C43" s="6" t="s">
        <v>678</v>
      </c>
      <c r="D43" s="6" t="s">
        <v>52</v>
      </c>
      <c r="E43" s="6" t="s">
        <v>586</v>
      </c>
      <c r="F43" s="6" t="s">
        <v>608</v>
      </c>
      <c r="G43" s="6" t="s">
        <v>588</v>
      </c>
      <c r="H43" s="6" t="s">
        <v>679</v>
      </c>
    </row>
    <row r="44" customFormat="false" ht="35.05" hidden="false" customHeight="false" outlineLevel="0" collapsed="false">
      <c r="A44" s="6" t="s">
        <v>403</v>
      </c>
      <c r="B44" s="6" t="s">
        <v>680</v>
      </c>
      <c r="C44" s="6" t="s">
        <v>681</v>
      </c>
      <c r="D44" s="6" t="s">
        <v>52</v>
      </c>
      <c r="E44" s="6" t="s">
        <v>586</v>
      </c>
      <c r="F44" s="6" t="s">
        <v>608</v>
      </c>
      <c r="G44" s="6" t="s">
        <v>588</v>
      </c>
      <c r="H44" s="6" t="s">
        <v>682</v>
      </c>
    </row>
    <row r="45" customFormat="false" ht="23.85" hidden="false" customHeight="false" outlineLevel="0" collapsed="false">
      <c r="A45" s="6" t="s">
        <v>407</v>
      </c>
      <c r="B45" s="6" t="s">
        <v>680</v>
      </c>
      <c r="C45" s="6" t="s">
        <v>683</v>
      </c>
      <c r="D45" s="6" t="s">
        <v>52</v>
      </c>
      <c r="E45" s="6" t="s">
        <v>586</v>
      </c>
      <c r="F45" s="6" t="s">
        <v>608</v>
      </c>
      <c r="G45" s="6" t="s">
        <v>588</v>
      </c>
      <c r="H45" s="6" t="s">
        <v>684</v>
      </c>
    </row>
    <row r="46" customFormat="false" ht="46.25" hidden="false" customHeight="false" outlineLevel="0" collapsed="false">
      <c r="A46" s="6" t="s">
        <v>411</v>
      </c>
      <c r="B46" s="6" t="s">
        <v>680</v>
      </c>
      <c r="C46" s="6" t="s">
        <v>685</v>
      </c>
      <c r="D46" s="6" t="s">
        <v>52</v>
      </c>
      <c r="E46" s="6" t="s">
        <v>586</v>
      </c>
      <c r="F46" s="6" t="s">
        <v>608</v>
      </c>
      <c r="G46" s="6" t="s">
        <v>588</v>
      </c>
      <c r="H46" s="6" t="s">
        <v>686</v>
      </c>
    </row>
    <row r="47" customFormat="false" ht="35.05" hidden="false" customHeight="false" outlineLevel="0" collapsed="false">
      <c r="A47" s="6" t="s">
        <v>415</v>
      </c>
      <c r="B47" s="6" t="s">
        <v>680</v>
      </c>
      <c r="C47" s="6" t="s">
        <v>687</v>
      </c>
      <c r="D47" s="6" t="s">
        <v>52</v>
      </c>
      <c r="E47" s="6" t="s">
        <v>586</v>
      </c>
      <c r="F47" s="6" t="s">
        <v>608</v>
      </c>
      <c r="G47" s="6" t="s">
        <v>588</v>
      </c>
      <c r="H47" s="6" t="s">
        <v>688</v>
      </c>
    </row>
    <row r="48" customFormat="false" ht="35.05" hidden="false" customHeight="false" outlineLevel="0" collapsed="false">
      <c r="A48" s="6" t="s">
        <v>418</v>
      </c>
      <c r="B48" s="6" t="s">
        <v>680</v>
      </c>
      <c r="C48" s="6" t="s">
        <v>689</v>
      </c>
      <c r="D48" s="6" t="s">
        <v>627</v>
      </c>
      <c r="E48" s="6" t="s">
        <v>586</v>
      </c>
      <c r="F48" s="6" t="s">
        <v>608</v>
      </c>
      <c r="G48" s="6" t="s">
        <v>588</v>
      </c>
      <c r="H48" s="6" t="s">
        <v>690</v>
      </c>
    </row>
    <row r="49" customFormat="false" ht="23.85" hidden="false" customHeight="false" outlineLevel="0" collapsed="false">
      <c r="A49" s="6" t="s">
        <v>423</v>
      </c>
      <c r="B49" s="6" t="s">
        <v>680</v>
      </c>
      <c r="C49" s="6" t="s">
        <v>691</v>
      </c>
      <c r="D49" s="6" t="s">
        <v>692</v>
      </c>
      <c r="E49" s="6" t="s">
        <v>586</v>
      </c>
      <c r="F49" s="6" t="s">
        <v>608</v>
      </c>
      <c r="G49" s="6" t="s">
        <v>588</v>
      </c>
      <c r="H49" s="6" t="s">
        <v>693</v>
      </c>
    </row>
    <row r="50" customFormat="false" ht="35.05" hidden="false" customHeight="false" outlineLevel="0" collapsed="false">
      <c r="A50" s="6" t="s">
        <v>428</v>
      </c>
      <c r="B50" s="6" t="s">
        <v>680</v>
      </c>
      <c r="C50" s="6" t="s">
        <v>694</v>
      </c>
      <c r="D50" s="6" t="s">
        <v>52</v>
      </c>
      <c r="E50" s="6" t="s">
        <v>586</v>
      </c>
      <c r="F50" s="6" t="s">
        <v>608</v>
      </c>
      <c r="G50" s="6" t="s">
        <v>588</v>
      </c>
      <c r="H50" s="6" t="s">
        <v>695</v>
      </c>
    </row>
    <row r="51" customFormat="false" ht="46.25" hidden="false" customHeight="false" outlineLevel="0" collapsed="false">
      <c r="A51" s="6" t="s">
        <v>432</v>
      </c>
      <c r="B51" s="6" t="s">
        <v>680</v>
      </c>
      <c r="C51" s="6" t="s">
        <v>696</v>
      </c>
      <c r="D51" s="6" t="s">
        <v>43</v>
      </c>
      <c r="E51" s="6" t="s">
        <v>586</v>
      </c>
      <c r="F51" s="6" t="s">
        <v>608</v>
      </c>
      <c r="G51" s="6" t="s">
        <v>588</v>
      </c>
      <c r="H51" s="6" t="s">
        <v>697</v>
      </c>
    </row>
    <row r="52" customFormat="false" ht="23.85" hidden="false" customHeight="false" outlineLevel="0" collapsed="false">
      <c r="A52" s="6" t="s">
        <v>435</v>
      </c>
      <c r="B52" s="6" t="s">
        <v>680</v>
      </c>
      <c r="C52" s="6" t="s">
        <v>698</v>
      </c>
      <c r="D52" s="6" t="s">
        <v>52</v>
      </c>
      <c r="E52" s="6" t="s">
        <v>586</v>
      </c>
      <c r="F52" s="6" t="s">
        <v>608</v>
      </c>
      <c r="G52" s="6" t="s">
        <v>588</v>
      </c>
      <c r="H52" s="6" t="s">
        <v>699</v>
      </c>
    </row>
    <row r="53" customFormat="false" ht="35.05" hidden="false" customHeight="false" outlineLevel="0" collapsed="false">
      <c r="A53" s="6" t="s">
        <v>447</v>
      </c>
      <c r="B53" s="6" t="s">
        <v>680</v>
      </c>
      <c r="C53" s="6" t="s">
        <v>700</v>
      </c>
      <c r="D53" s="6" t="s">
        <v>52</v>
      </c>
      <c r="E53" s="6" t="s">
        <v>586</v>
      </c>
      <c r="F53" s="6" t="s">
        <v>608</v>
      </c>
      <c r="G53" s="6" t="s">
        <v>588</v>
      </c>
      <c r="H53" s="6" t="s">
        <v>701</v>
      </c>
    </row>
    <row r="54" customFormat="false" ht="35.05" hidden="false" customHeight="false" outlineLevel="0" collapsed="false">
      <c r="A54" s="6" t="s">
        <v>472</v>
      </c>
      <c r="B54" s="6" t="s">
        <v>680</v>
      </c>
      <c r="C54" s="6" t="s">
        <v>702</v>
      </c>
      <c r="D54" s="6" t="s">
        <v>52</v>
      </c>
      <c r="E54" s="6" t="s">
        <v>586</v>
      </c>
      <c r="F54" s="6" t="s">
        <v>608</v>
      </c>
      <c r="G54" s="6" t="s">
        <v>588</v>
      </c>
      <c r="H54" s="6" t="s">
        <v>703</v>
      </c>
    </row>
    <row r="55" customFormat="false" ht="35.05" hidden="false" customHeight="false" outlineLevel="0" collapsed="false">
      <c r="A55" s="6" t="s">
        <v>514</v>
      </c>
      <c r="B55" s="6" t="s">
        <v>704</v>
      </c>
      <c r="C55" s="6" t="s">
        <v>705</v>
      </c>
      <c r="D55" s="6" t="s">
        <v>52</v>
      </c>
      <c r="E55" s="6" t="s">
        <v>586</v>
      </c>
      <c r="F55" s="6" t="s">
        <v>608</v>
      </c>
      <c r="G55" s="6" t="s">
        <v>588</v>
      </c>
      <c r="H55" s="6" t="s">
        <v>706</v>
      </c>
    </row>
    <row r="56" customFormat="false" ht="35.05" hidden="false" customHeight="false" outlineLevel="0" collapsed="false">
      <c r="A56" s="6" t="s">
        <v>517</v>
      </c>
      <c r="B56" s="6" t="s">
        <v>704</v>
      </c>
      <c r="C56" s="6" t="s">
        <v>707</v>
      </c>
      <c r="D56" s="6" t="s">
        <v>52</v>
      </c>
      <c r="E56" s="6" t="s">
        <v>586</v>
      </c>
      <c r="F56" s="6" t="s">
        <v>608</v>
      </c>
      <c r="G56" s="6" t="s">
        <v>588</v>
      </c>
      <c r="H56" s="6" t="s">
        <v>708</v>
      </c>
    </row>
    <row r="57" customFormat="false" ht="35.05" hidden="false" customHeight="false" outlineLevel="0" collapsed="false">
      <c r="A57" s="6" t="s">
        <v>520</v>
      </c>
      <c r="B57" s="6" t="s">
        <v>704</v>
      </c>
      <c r="C57" s="6" t="s">
        <v>709</v>
      </c>
      <c r="D57" s="6" t="s">
        <v>43</v>
      </c>
      <c r="E57" s="6" t="s">
        <v>586</v>
      </c>
      <c r="F57" s="6" t="s">
        <v>608</v>
      </c>
      <c r="G57" s="6" t="s">
        <v>588</v>
      </c>
      <c r="H57" s="6" t="s">
        <v>710</v>
      </c>
    </row>
    <row r="58" customFormat="false" ht="23.85" hidden="false" customHeight="false" outlineLevel="0" collapsed="false">
      <c r="A58" s="6" t="s">
        <v>522</v>
      </c>
      <c r="B58" s="6" t="s">
        <v>704</v>
      </c>
      <c r="C58" s="6" t="s">
        <v>711</v>
      </c>
      <c r="D58" s="6" t="s">
        <v>43</v>
      </c>
      <c r="E58" s="6" t="s">
        <v>586</v>
      </c>
      <c r="F58" s="6" t="s">
        <v>608</v>
      </c>
      <c r="G58" s="6" t="s">
        <v>588</v>
      </c>
      <c r="H58" s="6" t="s">
        <v>712</v>
      </c>
    </row>
    <row r="59" customFormat="false" ht="35.05" hidden="false" customHeight="false" outlineLevel="0" collapsed="false">
      <c r="A59" s="6" t="s">
        <v>525</v>
      </c>
      <c r="B59" s="6" t="s">
        <v>704</v>
      </c>
      <c r="C59" s="6" t="s">
        <v>713</v>
      </c>
      <c r="D59" s="6" t="s">
        <v>52</v>
      </c>
      <c r="E59" s="6" t="s">
        <v>586</v>
      </c>
      <c r="F59" s="6" t="s">
        <v>608</v>
      </c>
      <c r="G59" s="6" t="s">
        <v>588</v>
      </c>
      <c r="H59" s="6" t="s">
        <v>714</v>
      </c>
    </row>
  </sheetData>
  <autoFilter ref="A5:H5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LibreOffice/24.2.2.2$Windows_X86_64 LibreOffice_project/d56cc158d8a96260b836f100ef4b4ef25d6f1a01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2026-09-15T16:14:52Z</dcterms:created>
  <dc:creator>openpyxl</dc:creator>
  <dc:description/>
  <dc:language>en-US</dc:language>
  <cp:lastModifiedBy/>
  <dcterms:modified xsi:type="dcterms:W3CDTF">2026-09-15T13:43:08Z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